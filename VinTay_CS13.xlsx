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0_Hướng dẫn" sheetId="1" state="visible" r:id="rId3"/>
    <sheet name="0_Đầu vào" sheetId="2" state="visible" r:id="rId4"/>
    <sheet name="1_Danh sách việc" sheetId="3" state="visible" r:id="rId5"/>
    <sheet name="2_Mức tự động" sheetId="4" state="visible" r:id="rId6"/>
    <sheet name="3_Bảng lộ trình" sheetId="5" state="visible" r:id="rId7"/>
    <sheet name="4_Rà soát" sheetId="6" state="visible" r:id="rId8"/>
    <sheet name="5_Slide lãnh đạo" sheetId="7" state="visible" r:id="rId9"/>
    <sheet name="6_Tự kiểm tra" sheetId="8" state="visible" r:id="rId10"/>
    <sheet name="7_Thang điểm" sheetId="9"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<sst xmlns="http://schemas.openxmlformats.org/spreadsheetml/2006/main" count="189" uniqueCount="183">
  <si>
    <t xml:space="preserve">CS13 · Lộ trình sản phẩm AI — File thực hành · Đề 1 · SổSạch</t>
  </si>
  <si>
    <t xml:space="preserve">AI in Action · Track 1 · Khóa 4. FILE LÀM BÀI CỦA NHÓM · Đề 1 · SổSạch. Dữ liệu của đề nằm trong file CS13_HoSoTinhHuong.pdf; file CS13_Roadmap_Mau.xlsx là bản mẫu đã điền (một sản phẩm khác) để xem cách điền.</t>
  </si>
  <si>
    <t xml:space="preserve">Luật chơi: CHỈ điền vào ô màu VÀNG. Ô màu XANH là công thức và đã được khóa. Bắt đầu bằng trang 0_Đầu vào (Nhiệm vụ 0: đọc hồ sơ tình huống).</t>
  </si>
  <si>
    <t xml:space="preserve">Thứ tự làm: 0 Đọc hồ sơ → 1 Danh sách việc → 2 Mức tự động → 3 Bảng lộ trình → 4 Rà soát → 6 Tự kiểm tra. Trang 5 (slide lãnh đạo) làm ở nhà.</t>
  </si>
  <si>
    <t xml:space="preserve">Số liệu kinh tế của đề đã điền sẵn ở trang 2, dòng 12–20. Không cần file của buổi nào khác: mọi dữ liệu cần dùng nằm trong hồ sơ tình huống, Đề 1.</t>
  </si>
  <si>
    <t xml:space="preserve">Lộ trình theo GIẢ THUYẾT: mỗi hạng mục phải trả lời 'Ta tin rằng làm X sẽ giúp Y đạt Z; biết đúng khi chỉ số W đạt ngưỡng V'.</t>
  </si>
  <si>
    <t xml:space="preserve">Tên file nộp: [Nhom]_CS13.xlsx · Nộp bản có Nhiệm vụ 1–4 lên VLearn trước 18:00 ngày 16/10. Trang 5 (Nhiệm vụ 5, làm ở nhà) nộp trước 23:59 ngày 19/10.</t>
  </si>
  <si>
    <t xml:space="preserve">Tuân thủ: Luật Trí tuệ nhân tạo số 134/2025/QH15 (hiệu lực 01/3/2026) chia hệ thống AI thành 3 mức rủi ro và yêu cầu người dùng được thông tin khi tương tác với AI. Đọc văn bản gốc trước khi ghi vào bài.</t>
  </si>
  <si>
    <t xml:space="preserve">Chú thích màu:</t>
  </si>
  <si>
    <t xml:space="preserve">Ô điền giả định (không khóa)</t>
  </si>
  <si>
    <t xml:space="preserve">Ô công thức (tự tính, đã khóa)</t>
  </si>
  <si>
    <t xml:space="preserve">0 · Nhiệm vụ 0: đọc hồ sơ tình huống, Đề 1 (5 phút)</t>
  </si>
  <si>
    <t xml:space="preserve">Cả nhóm đọc cùng một hồ sơ trước khi điền. Nhiệm vụ 0 không tính điểm; đánh dấu "Có" khi cả nhóm đã đọc mục đó.</t>
  </si>
  <si>
    <t xml:space="preserve">Mục trong hồ sơ tình huống</t>
  </si>
  <si>
    <t xml:space="preserve">Nhóm đã đọc chưa?</t>
  </si>
  <si>
    <t xml:space="preserve">Dùng ở đâu trong file</t>
  </si>
  <si>
    <t xml:space="preserve">Lưu ý</t>
  </si>
  <si>
    <t xml:space="preserve">Ghi chú của nhóm</t>
  </si>
  <si>
    <t xml:space="preserve">Số liệu kinh tế của đề (9 dòng)</t>
  </si>
  <si>
    <t xml:space="preserve">Đã điền sẵn ở trang 2, dòng 12–20: chi phí mỗi việc, biên lợi nhuận, điều kiện dừng</t>
  </si>
  <si>
    <t xml:space="preserve">Đọc để hiểu; không cần chép</t>
  </si>
  <si>
    <t xml:space="preserve">Bối cảnh, sản phẩm, "1 việc" là gì</t>
  </si>
  <si>
    <t xml:space="preserve">Giả thuyết và chỉ số ở trang 1</t>
  </si>
  <si>
    <t xml:space="preserve">Viết giả thuyết theo đúng "1 việc" của đề</t>
  </si>
  <si>
    <t xml:space="preserve">6 việc gợi ý</t>
  </si>
  <si>
    <t xml:space="preserve">Trang 1, cột B–C; nhóm được thêm việc của mình</t>
  </si>
  <si>
    <t xml:space="preserve">Giữ, bỏ hay đổi thứ tự đều phải ghi lý do ở cột Q</t>
  </si>
  <si>
    <t xml:space="preserve">Kết quả đánh giá đã có (bộ đề, cổng phát hành)</t>
  </si>
  <si>
    <t xml:space="preserve">Cổng đánh giá ở trang 2; việc cần làm trước ở trang 3</t>
  </si>
  <si>
    <t xml:space="preserve">Đề 2, 3: kết luận chưa phải "Phát hành" → có việc phải làm trước</t>
  </si>
  <si>
    <t xml:space="preserve">Chuyên gia và số giờ của họ</t>
  </si>
  <si>
    <t xml:space="preserve">Dòng "Điều kiện cần" ở trang 3; ô "Cần gì" ở trang 5</t>
  </si>
  <si>
    <t xml:space="preserve">Dẫn đúng số giờ trong hồ sơ</t>
  </si>
  <si>
    <t xml:space="preserve">Gợi ý về người duyệt và mức tự động</t>
  </si>
  <si>
    <t xml:space="preserve">Trang 2, cột H và I</t>
  </si>
  <si>
    <t xml:space="preserve">Đề 3: bác sĩ của bệnh viện không tính vào chi phí</t>
  </si>
  <si>
    <t xml:space="preserve">Số mục nhóm đã đọc</t>
  </si>
  <si>
    <t xml:space="preserve">Đủ 6/6 thì sang Nhiệm vụ 1.</t>
  </si>
  <si>
    <t xml:space="preserve">1 · Danh sách việc và chấm điểm ưu tiên</t>
  </si>
  <si>
    <t xml:space="preserve">Điểm = Độ phủ × Tác động × Mức tự tin ÷ Công sức × (0,5 + 0,5 × sẵn sàng trung bình của dữ liệu và đánh giá) × (1 − 0,5 × rủi ro bị 'nuốt')</t>
  </si>
  <si>
    <t xml:space="preserve">STT</t>
  </si>
  <si>
    <t xml:space="preserve">Việc</t>
  </si>
  <si>
    <t xml:space="preserve">Kết quả muốn đạt</t>
  </si>
  <si>
    <t xml:space="preserve">Giả thuyết (Ta tin rằng…)</t>
  </si>
  <si>
    <t xml:space="preserve">Chỉ số thành công và ngưỡng</t>
  </si>
  <si>
    <t xml:space="preserve">Độ phủ 1–5</t>
  </si>
  <si>
    <t xml:space="preserve">Tác động 1–5</t>
  </si>
  <si>
    <t xml:space="preserve">Mức tự tin 0,5 / 0,8 / 1</t>
  </si>
  <si>
    <t xml:space="preserve">Công sức 1–5</t>
  </si>
  <si>
    <t xml:space="preserve">Sẵn sàng dữ liệu 0–1</t>
  </si>
  <si>
    <t xml:space="preserve">Sẵn sàng đánh giá 0–1</t>
  </si>
  <si>
    <t xml:space="preserve">Rủi ro bị nuốt 0–1</t>
  </si>
  <si>
    <t xml:space="preserve">ĐIỂM</t>
  </si>
  <si>
    <t xml:space="preserve">Xếp hạng</t>
  </si>
  <si>
    <t xml:space="preserve">Chỉ số có con số?</t>
  </si>
  <si>
    <t xml:space="preserve">Tự làm / Mua / Chờ / Không làm</t>
  </si>
  <si>
    <t xml:space="preserve">Lý do (đổi thứ tự, chọn mua hay chờ…)</t>
  </si>
  <si>
    <t xml:space="preserve">2 · Lộ trình tăng dần mức tự động và cổng đánh giá</t>
  </si>
  <si>
    <t xml:space="preserve">Mỗi lần lên mức phải qua một cổng đánh giá bằng con số. Chưa qua cổng thì chưa lên mức, dù đã đến ngày. Mức tự động quyết định chi phí mỗi việc: xem cột H–L.</t>
  </si>
  <si>
    <t xml:space="preserve">Mức</t>
  </si>
  <si>
    <t xml:space="preserve">Tên mức</t>
  </si>
  <si>
    <t xml:space="preserve">AI làm gì</t>
  </si>
  <si>
    <t xml:space="preserve">Người làm gì</t>
  </si>
  <si>
    <t xml:space="preserve">Cổng đánh giá để lên mức này (chỉ số + ngưỡng + cỡ mẫu)</t>
  </si>
  <si>
    <t xml:space="preserve">Dữ liệu / hạ tầng / tuân thủ cần có</t>
  </si>
  <si>
    <t xml:space="preserve">Dự kiến (kế hoạch nội bộ, không phải cam kết)</t>
  </si>
  <si>
    <t xml:space="preserve">% việc có người duyệt</t>
  </si>
  <si>
    <t xml:space="preserve">Ai duyệt</t>
  </si>
  <si>
    <t xml:space="preserve">Chi phí mỗi việc (đ)</t>
  </si>
  <si>
    <t xml:space="preserve">Biên lợi nhuận gộp</t>
  </si>
  <si>
    <t xml:space="preserve">Biên ≥ 60%?</t>
  </si>
  <si>
    <t xml:space="preserve">Cổng có con số?</t>
  </si>
  <si>
    <t xml:space="preserve">Gợi ý</t>
  </si>
  <si>
    <t xml:space="preserve">Người của mình</t>
  </si>
  <si>
    <t xml:space="preserve">Hỗ trợ có duyệt</t>
  </si>
  <si>
    <t xml:space="preserve">Tự động một phần</t>
  </si>
  <si>
    <t xml:space="preserve">Tự động có giám sát</t>
  </si>
  <si>
    <t xml:space="preserve">SỐ LIỆU KINH TẾ CỦA ĐỀ (đã điền sẵn từ hồ sơ tình huống; sửa được nếu nhóm có lý do)</t>
  </si>
  <si>
    <t xml:space="preserve">Chi phí gọi AI / việc (đã tính gọi lại)</t>
  </si>
  <si>
    <t xml:space="preserve">Hồ sơ, bảng Số liệu kinh tế, dòng 1</t>
  </si>
  <si>
    <t xml:space="preserve">Hạ tầng + đánh giá + khác / việc</t>
  </si>
  <si>
    <t xml:space="preserve">dòng 2</t>
  </si>
  <si>
    <t xml:space="preserve">Số phút người duyệt / việc</t>
  </si>
  <si>
    <t xml:space="preserve">dòng 3</t>
  </si>
  <si>
    <t xml:space="preserve">Chi phí 1 giờ người duyệt (đ)</t>
  </si>
  <si>
    <t xml:space="preserve">dòng 4</t>
  </si>
  <si>
    <t xml:space="preserve">Doanh thu bình quân / khách / tháng (đ)</t>
  </si>
  <si>
    <t xml:space="preserve">dòng 5</t>
  </si>
  <si>
    <t xml:space="preserve">Số việc bình quân / khách / tháng</t>
  </si>
  <si>
    <t xml:space="preserve">dòng 6</t>
  </si>
  <si>
    <t xml:space="preserve">Biến nguy hiểm nhất</t>
  </si>
  <si>
    <t xml:space="preserve">Doanh thu bình quân (65% doanh thu đến từ 30% văn phòng dùng nhiều)</t>
  </si>
  <si>
    <t xml:space="preserve">dòng 7</t>
  </si>
  <si>
    <t xml:space="preserve">Điều kiện dừng đã chọn (theo đề)</t>
  </si>
  <si>
    <t xml:space="preserve">NẾU doanh thu bình quân dưới 3,71 triệu/văn phòng trong 2 tháng liên tiếp, trên ít nhất 10 văn phòng, THÌ dừng mở rộng</t>
  </si>
  <si>
    <t xml:space="preserve">dòng 8</t>
  </si>
  <si>
    <t xml:space="preserve">Kịch bản xấu hết tiền ở tháng</t>
  </si>
  <si>
    <t xml:space="preserve">dòng 9</t>
  </si>
  <si>
    <t xml:space="preserve">Ghi chú: người duyệt của mình là kế toán viên của công ty. Gợi ý của đề: Mức 1 duyệt khoảng 20%; Mức 2 khoảng 10%.</t>
  </si>
  <si>
    <t xml:space="preserve">3 · Bảng lộ trình theo giả thuyết: Bây giờ / Tiếp theo / Sau này</t>
  </si>
  <si>
    <t xml:space="preserve">Bây giờ = cam kết (0–3 tháng) · Tiếp theo = định hướng (3–6 tháng) · Sau này = khám phá (6–12 tháng). Càng xa càng ít chi tiết.</t>
  </si>
  <si>
    <t xml:space="preserve">Dòng</t>
  </si>
  <si>
    <t xml:space="preserve">Bây giờ (0–3 tháng)</t>
  </si>
  <si>
    <t xml:space="preserve">Tiếp theo (3–6 tháng)</t>
  </si>
  <si>
    <t xml:space="preserve">Sau này (6–12 tháng)</t>
  </si>
  <si>
    <t xml:space="preserve">Việc chính (lấy từ trang 1)</t>
  </si>
  <si>
    <t xml:space="preserve">Giả thuyết</t>
  </si>
  <si>
    <t xml:space="preserve">Mức tự động (trang 2)</t>
  </si>
  <si>
    <t xml:space="preserve">Cổng đánh giá</t>
  </si>
  <si>
    <t xml:space="preserve">Điều kiện cần: dữ liệu / hạ tầng / tuân thủ</t>
  </si>
  <si>
    <t xml:space="preserve">Căn cứ kinh tế (số liệu của đề và trang 2)</t>
  </si>
  <si>
    <t xml:space="preserve">Điều kiện dừng / đổi hướng</t>
  </si>
  <si>
    <t xml:space="preserve">4 · Lịch rà soát lộ trình</t>
  </si>
  <si>
    <t xml:space="preserve">Rà soát theo lịch VÀ mỗi khi có sự kiện. Ở mốc 30/60/90 chọn 1 trong 4: đi tiếp, sửa, đổi hướng, dừng.</t>
  </si>
  <si>
    <t xml:space="preserve">Mốc / sự kiện</t>
  </si>
  <si>
    <t xml:space="preserve">Nhìn vào chỉ số nào</t>
  </si>
  <si>
    <t xml:space="preserve">Quyết định có thể đưa ra</t>
  </si>
  <si>
    <t xml:space="preserve">Ai quyết</t>
  </si>
  <si>
    <t xml:space="preserve">Ngày 30</t>
  </si>
  <si>
    <t xml:space="preserve">Ngày 60</t>
  </si>
  <si>
    <t xml:space="preserve">Ngày 90</t>
  </si>
  <si>
    <t xml:space="preserve">Có mô hình mới / giá gọi AI giảm mạnh</t>
  </si>
  <si>
    <t xml:space="preserve">Nền tảng hoặc đối thủ ra tính năng tương tự</t>
  </si>
  <si>
    <t xml:space="preserve">Quy định pháp lý thay đổi</t>
  </si>
  <si>
    <t xml:space="preserve">Ngày 90 chưa đo được giá trị vòng đời thật: khách mới dùng 3 tháng. Chỉ dùng chỉ số đã có đủ dữ liệu.</t>
  </si>
  <si>
    <t xml:space="preserve">5 · Lộ trình 1 slide cho lãnh đạo</t>
  </si>
  <si>
    <t xml:space="preserve">Kết luận trước. Không quá 60 chữ mỗi ô (cột C tự đếm).</t>
  </si>
  <si>
    <t xml:space="preserve">Số chữ</t>
  </si>
  <si>
    <t xml:space="preserve">Đạt?</t>
  </si>
  <si>
    <t xml:space="preserve">Kết luận (1 câu)</t>
  </si>
  <si>
    <t xml:space="preserve">3 việc chính</t>
  </si>
  <si>
    <t xml:space="preserve">Cần gì (người, tiền, dữ liệu)</t>
  </si>
  <si>
    <t xml:space="preserve">Rủi ro lớn nhất &amp; cách xử lý</t>
  </si>
  <si>
    <t xml:space="preserve">Khi nào xem lại</t>
  </si>
  <si>
    <t xml:space="preserve">6 · Tự kiểm tra</t>
  </si>
  <si>
    <t xml:space="preserve">Chưa 'Đạt' thì quay lại sửa trước khi nộp file.</t>
  </si>
  <si>
    <t xml:space="preserve">Điểm kiểm tra</t>
  </si>
  <si>
    <t xml:space="preserve">Kết quả</t>
  </si>
  <si>
    <t xml:space="preserve">Số việc đã chấm điểm (cần ≥ 5)</t>
  </si>
  <si>
    <t xml:space="preserve">Việc được giữ lại mà thiếu giả thuyết hoặc chỉ số có con số (cần = 0)</t>
  </si>
  <si>
    <t xml:space="preserve">Số mức tự động có cổng đánh giá kèm con số (cần ≥ 2, không tính Mức 0)</t>
  </si>
  <si>
    <t xml:space="preserve">Bảng lộ trình: số ô tầng 'Bây giờ' đã điền (cần 8/8)</t>
  </si>
  <si>
    <t xml:space="preserve">Điều kiện dừng tầng 'Bây giờ' có con số</t>
  </si>
  <si>
    <t xml:space="preserve">Căn cứ kinh tế có con số (từ số liệu của đề)</t>
  </si>
  <si>
    <t xml:space="preserve">Slide lãnh đạo: số ô đạt (đủ chữ, không quá 60 chữ; cần 5)</t>
  </si>
  <si>
    <t xml:space="preserve">Số mức tự động có biên lợi nhuận ≥ 60% (cần ≥ 1)</t>
  </si>
  <si>
    <t xml:space="preserve">7 · Thang điểm sản phẩm (100 điểm)</t>
  </si>
  <si>
    <t xml:space="preserve">Tiêu chí</t>
  </si>
  <si>
    <t xml:space="preserve">Điểm</t>
  </si>
  <si>
    <t xml:space="preserve">Bài đạt khi</t>
  </si>
  <si>
    <t xml:space="preserve">Điểm nhóm</t>
  </si>
  <si>
    <t xml:space="preserve">Theo kết quả và giả thuyết</t>
  </si>
  <si>
    <t xml:space="preserve">Mỗi việc có giả thuyết, chỉ số và ngưỡng, không chỉ là tên tính năng</t>
  </si>
  <si>
    <t xml:space="preserve">Ưu tiên có căn cứ</t>
  </si>
  <si>
    <t xml:space="preserve">Bảng điểm ≥ 5 việc; có sẵn sàng dữ liệu, đánh giá và rủi ro bị nuốt; dùng số liệu kinh tế của đề; đổi thứ tự hoặc bỏ việc thì ghi lý do</t>
  </si>
  <si>
    <t xml:space="preserve">Mức tự động và cổng đánh giá</t>
  </si>
  <si>
    <t xml:space="preserve">≥ 2 mức có cổng bằng con số (chỉ số, ngưỡng, cỡ mẫu); có vai trò của người; có chi phí mỗi việc theo mức</t>
  </si>
  <si>
    <t xml:space="preserve">Điều kiện cần và rủi ro</t>
  </si>
  <si>
    <t xml:space="preserve">Nêu dữ liệu, hạ tầng, tuân thủ; điều kiện dừng đo được với quy mô thử nghiệm; có lịch rà soát</t>
  </si>
  <si>
    <t xml:space="preserve">Slide lãnh đạo</t>
  </si>
  <si>
    <t xml:space="preserve">Kết luận trước, ≤ 60 chữ mỗi ô, trả lời được "cần gì" và "khi nào xem lại"</t>
  </si>
  <si>
    <t xml:space="preserve">TỔNG</t>
  </si>
  <si>
    <t xml:space="preserve">THANG ĐIỂM TRÌNH BÀY (1–5 điểm mỗi tiêu chí)</t>
  </si>
  <si>
    <t xml:space="preserve">Mức 1</t>
  </si>
  <si>
    <t xml:space="preserve">Mức 3</t>
  </si>
  <si>
    <t xml:space="preserve">Mức 5</t>
  </si>
  <si>
    <t xml:space="preserve">Rõ ràng</t>
  </si>
  <si>
    <t xml:space="preserve">Câu đầu chưa có kết luận; người nghe phải đoán nhóm làm gì trước</t>
  </si>
  <si>
    <t xml:space="preserve">Có kết luận nhưng nói sau phần mở đầu, hoặc thiếu mốc quyết định</t>
  </si>
  <si>
    <t xml:space="preserve">Câu đầu có việc làm trước, mục tiêu bằng số và ngày quyết định</t>
  </si>
  <si>
    <t xml:space="preserve">Bằng chứng</t>
  </si>
  <si>
    <t xml:space="preserve">Không có cổng đánh giá, hoặc số không có nguồn</t>
  </si>
  <si>
    <t xml:space="preserve">Có cổng nhưng thiếu cỡ mẫu hoặc căn cứ kinh tế</t>
  </si>
  <si>
    <t xml:space="preserve">Cổng đủ chỉ số, ngưỡng, cỡ mẫu; căn cứ kinh tế lấy từ số liệu của đề</t>
  </si>
  <si>
    <t xml:space="preserve">Trả lời phản biện</t>
  </si>
  <si>
    <t xml:space="preserve">Né câu hỏi hoặc trả lời chung chung</t>
  </si>
  <si>
    <t xml:space="preserve">Trả lời đúng ý nhưng không dẫn số</t>
  </si>
  <si>
    <t xml:space="preserve">Trả lời thẳng, dẫn đúng con số trong file</t>
  </si>
  <si>
    <t xml:space="preserve">Đúng giờ</t>
  </si>
  <si>
    <t xml:space="preserve">Quá 4 phút</t>
  </si>
  <si>
    <t xml:space="preserve">Từ 3 đến 4 phút</t>
  </si>
  <si>
    <t xml:space="preserve">Không quá 3 phút</t>
  </si>
  <si>
    <t xml:space="preserve">Mức 2 và 4 dùng khi bài nằm giữa hai mô tả. Bản chuẩn của buổi học không có phần trình bày trên lớp: điểm buổi = thang sản phẩm 100 điểm ở trên. Thang trình bày chỉ dùng khi giảng viên tổ chức trình bày.</t>
  </si>
</sst>
</file>

<file path=xl/styles.xml><?xml version="1.0" encoding="utf-8"?>
<styleSheet xmlns="http://schemas.openxmlformats.org/spreadsheetml/2006/main">
  <numFmts count="6">
    <numFmt numFmtId="164" formatCode="General"/>
    <numFmt numFmtId="165" formatCode="General"/>
    <numFmt numFmtId="166" formatCode="0%"/>
    <numFmt numFmtId="167" formatCode="#,##0;[RED]\-#,##0"/>
    <numFmt numFmtId="168" formatCode="0.0"/>
    <numFmt numFmtId="169" formatCode="0"/>
  </numFmts>
  <fonts count="11">
    <font>
      <sz val="11"/>
      <color theme="1"/>
      <name val="Calibri"/>
      <family val="2"/>
      <charset val="1"/>
    </font>
    <font>
      <sz val="10"/>
      <name val="Arial"/>
      <family val="0"/>
    </font>
    <font>
      <sz val="10"/>
      <name val="Arial"/>
      <family val="0"/>
    </font>
    <font>
      <sz val="10"/>
      <name val="Arial"/>
      <family val="0"/>
    </font>
    <font>
      <b val="true"/>
      <sz val="14"/>
      <name val="Cambria"/>
      <family val="0"/>
      <charset val="1"/>
    </font>
    <font>
      <i val="true"/>
      <sz val="11"/>
      <color rgb="FF595959"/>
      <name val="Cambria"/>
      <family val="0"/>
      <charset val="1"/>
    </font>
    <font>
      <b val="true"/>
      <sz val="11"/>
      <color rgb="FFFFFFFF"/>
      <name val="Cambria"/>
      <family val="0"/>
      <charset val="1"/>
    </font>
    <font>
      <b val="true"/>
      <sz val="11"/>
      <name val="Cambria"/>
      <family val="0"/>
      <charset val="1"/>
    </font>
    <font>
      <sz val="11"/>
      <name val="Calibri"/>
      <family val="0"/>
      <charset val="1"/>
    </font>
    <font>
      <i val="true"/>
      <sz val="10"/>
      <color rgb="FF595959"/>
      <name val="Calibri"/>
      <family val="0"/>
      <charset val="1"/>
    </font>
    <font>
      <b val="true"/>
      <sz val="12"/>
      <name val="Cambria"/>
      <family val="0"/>
      <charset val="1"/>
    </font>
  </fonts>
  <fills count="5">
    <fill>
      <patternFill patternType="none"/>
    </fill>
    <fill>
      <patternFill patternType="gray125"/>
    </fill>
    <fill>
      <patternFill patternType="solid">
        <fgColor rgb="FFFFF2CC"/>
        <bgColor rgb="FFE2EFDA"/>
      </patternFill>
    </fill>
    <fill>
      <patternFill patternType="solid">
        <fgColor rgb="FFE2EFDA"/>
        <bgColor rgb="FFFFF2CC"/>
      </patternFill>
    </fill>
    <fill>
      <patternFill patternType="solid">
        <fgColor rgb="FF1F3864"/>
        <bgColor rgb="FF33333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0" fillId="2" borderId="0" xfId="0" applyFont="true" applyBorder="false" applyAlignment="true" applyProtection="false">
      <alignment horizontal="general" vertical="bottom" textRotation="0" wrapText="false" indent="0" shrinkToFit="false"/>
      <protection locked="true" hidden="false"/>
    </xf>
    <xf numFmtId="164" fontId="0" fillId="3" borderId="0" xfId="0" applyFont="true" applyBorder="false" applyAlignment="true" applyProtection="false">
      <alignment horizontal="general" vertical="bottom" textRotation="0" wrapText="false" indent="0" shrinkToFit="false"/>
      <protection locked="true" hidden="false"/>
    </xf>
    <xf numFmtId="164" fontId="6" fillId="4" borderId="0" xfId="0" applyFont="true" applyBorder="false" applyAlignment="true" applyProtection="false">
      <alignment horizontal="general" vertical="bottom" textRotation="0" wrapText="tru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4" fontId="0" fillId="2" borderId="1" xfId="0" applyFont="false" applyBorder="true" applyAlignment="true" applyProtection="true">
      <alignment horizontal="general" vertical="top" textRotation="0" wrapText="true" indent="0" shrinkToFit="false"/>
      <protection locked="fals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6" fillId="4" borderId="0" xfId="0" applyFont="true" applyBorder="false" applyAlignment="true" applyProtection="false">
      <alignment horizontal="general" vertical="center" textRotation="0" wrapText="tru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5" fontId="0" fillId="3" borderId="1" xfId="0" applyFont="false" applyBorder="true" applyAlignment="true" applyProtection="false">
      <alignment horizontal="general" vertical="top" textRotation="0" wrapText="true" indent="0" shrinkToFit="false"/>
      <protection locked="true" hidden="false"/>
    </xf>
    <xf numFmtId="164" fontId="0" fillId="3" borderId="1" xfId="0" applyFont="false" applyBorder="true" applyAlignment="true" applyProtection="false">
      <alignment horizontal="center" vertical="bottom" textRotation="0" wrapText="false" indent="0" shrinkToFit="false"/>
      <protection locked="true" hidden="false"/>
    </xf>
    <xf numFmtId="164" fontId="8" fillId="2" borderId="0" xfId="0" applyFont="true" applyBorder="false" applyAlignment="true" applyProtection="true">
      <alignment horizontal="general" vertical="bottom" textRotation="0" wrapText="false" indent="0" shrinkToFit="false"/>
      <protection locked="false" hidden="false"/>
    </xf>
    <xf numFmtId="166" fontId="8" fillId="2" borderId="0" xfId="0" applyFont="true" applyBorder="false" applyAlignment="true" applyProtection="true">
      <alignment horizontal="general" vertical="bottom" textRotation="0" wrapText="false" indent="0" shrinkToFit="false"/>
      <protection locked="false" hidden="false"/>
    </xf>
    <xf numFmtId="167" fontId="8" fillId="3" borderId="0" xfId="0" applyFont="true" applyBorder="false" applyAlignment="true" applyProtection="false">
      <alignment horizontal="general" vertical="bottom" textRotation="0" wrapText="false" indent="0" shrinkToFit="false"/>
      <protection locked="true" hidden="false"/>
    </xf>
    <xf numFmtId="166" fontId="8" fillId="3" borderId="0" xfId="0" applyFont="true" applyBorder="false" applyAlignment="true" applyProtection="false">
      <alignment horizontal="general" vertical="bottom" textRotation="0" wrapText="false" indent="0" shrinkToFit="false"/>
      <protection locked="true" hidden="false"/>
    </xf>
    <xf numFmtId="164" fontId="8" fillId="3"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7" fontId="8" fillId="2" borderId="0" xfId="0" applyFont="true" applyBorder="false" applyAlignment="true" applyProtection="true">
      <alignment horizontal="general" vertical="bottom" textRotation="0" wrapText="false" indent="0" shrinkToFit="false"/>
      <protection locked="fals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8" fontId="8" fillId="2" borderId="0" xfId="0" applyFont="true" applyBorder="false" applyAlignment="true" applyProtection="true">
      <alignment horizontal="general" vertical="bottom" textRotation="0" wrapText="false" indent="0" shrinkToFit="false"/>
      <protection locked="false" hidden="false"/>
    </xf>
    <xf numFmtId="169" fontId="8" fillId="2" borderId="0" xfId="0" applyFont="true" applyBorder="false" applyAlignment="true" applyProtection="true">
      <alignment horizontal="general" vertical="bottom" textRotation="0" wrapText="false" indent="0" shrinkToFit="false"/>
      <protection locked="fals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9" fontId="8" fillId="3"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fals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20"/>
  </cols>
  <sheetData>
    <row r="1" customFormat="false" ht="17.25" hidden="false" customHeight="true" outlineLevel="0" collapsed="false">
      <c r="A1" s="2" t="s">
        <v>0</v>
      </c>
    </row>
    <row r="2" customFormat="false" ht="15" hidden="false" customHeight="true" outlineLevel="0" collapsed="false">
      <c r="A2" s="3" t="s">
        <v>1</v>
      </c>
    </row>
    <row r="4" customFormat="false" ht="15" hidden="false" customHeight="true" outlineLevel="0" collapsed="false">
      <c r="A4" s="1" t="s">
        <v>2</v>
      </c>
    </row>
    <row r="5" customFormat="false" ht="15" hidden="false" customHeight="true" outlineLevel="0" collapsed="false">
      <c r="A5" s="1" t="s">
        <v>3</v>
      </c>
    </row>
    <row r="6" customFormat="false" ht="15" hidden="false" customHeight="true" outlineLevel="0" collapsed="false">
      <c r="A6" s="1" t="s">
        <v>4</v>
      </c>
    </row>
    <row r="7" customFormat="false" ht="15" hidden="false" customHeight="true" outlineLevel="0" collapsed="false">
      <c r="A7" s="1" t="s">
        <v>5</v>
      </c>
    </row>
    <row r="8" customFormat="false" ht="15" hidden="false" customHeight="true" outlineLevel="0" collapsed="false">
      <c r="A8" s="1" t="s">
        <v>6</v>
      </c>
    </row>
    <row r="9" customFormat="false" ht="15" hidden="false" customHeight="true" outlineLevel="0" collapsed="false">
      <c r="A9" s="1" t="s">
        <v>7</v>
      </c>
    </row>
    <row r="11" customFormat="false" ht="15" hidden="false" customHeight="true" outlineLevel="0" collapsed="false">
      <c r="A11" s="1" t="s">
        <v>8</v>
      </c>
    </row>
    <row r="12" customFormat="false" ht="15" hidden="false" customHeight="true" outlineLevel="0" collapsed="false">
      <c r="A12" s="4" t="s">
        <v>9</v>
      </c>
    </row>
    <row r="13" customFormat="false" ht="15" hidden="false" customHeight="true" outlineLevel="0" collapsed="false">
      <c r="A13" s="5" t="s">
        <v>10</v>
      </c>
    </row>
  </sheetData>
  <sheetProtection sheet="true" formatColumns="false" formatRows="fals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sheetPr filterMode="false">
    <pageSetUpPr fitToPage="false"/>
  </sheetPr>
  <dimension ref="A1:E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2"/>
    <col collapsed="false" customWidth="true" hidden="false" outlineLevel="0" max="2" min="2" style="1" width="14"/>
    <col collapsed="false" customWidth="true" hidden="false" outlineLevel="0" max="4" min="3" style="1" width="46"/>
    <col collapsed="false" customWidth="true" hidden="false" outlineLevel="0" max="5" min="5" style="1" width="36"/>
  </cols>
  <sheetData>
    <row r="1" customFormat="false" ht="17.25" hidden="false" customHeight="true" outlineLevel="0" collapsed="false">
      <c r="A1" s="2" t="s">
        <v>11</v>
      </c>
    </row>
    <row r="2" customFormat="false" ht="15" hidden="false" customHeight="true" outlineLevel="0" collapsed="false">
      <c r="A2" s="3" t="s">
        <v>12</v>
      </c>
    </row>
    <row r="4" customFormat="false" ht="26.25" hidden="false" customHeight="true" outlineLevel="0" collapsed="false">
      <c r="A4" s="6" t="s">
        <v>13</v>
      </c>
      <c r="B4" s="6" t="s">
        <v>14</v>
      </c>
      <c r="C4" s="6" t="s">
        <v>15</v>
      </c>
      <c r="D4" s="6" t="s">
        <v>16</v>
      </c>
      <c r="E4" s="6" t="s">
        <v>17</v>
      </c>
    </row>
    <row r="5" customFormat="false" ht="33.75" hidden="false" customHeight="true" outlineLevel="0" collapsed="false">
      <c r="A5" s="7" t="s">
        <v>18</v>
      </c>
      <c r="B5" s="8" t="inlineStr">
        <is>
          <t>Có</t>
        </is>
      </c>
      <c r="C5" s="7" t="s">
        <v>19</v>
      </c>
      <c r="D5" s="7" t="s">
        <v>20</v>
      </c>
      <c r="E5" s="8"/>
    </row>
    <row r="6" customFormat="false" ht="33.75" hidden="false" customHeight="true" outlineLevel="0" collapsed="false">
      <c r="A6" s="7" t="s">
        <v>21</v>
      </c>
      <c r="B6" s="8" t="inlineStr">
        <is>
          <t>Có</t>
        </is>
      </c>
      <c r="C6" s="7" t="s">
        <v>22</v>
      </c>
      <c r="D6" s="7" t="s">
        <v>23</v>
      </c>
      <c r="E6" s="8"/>
    </row>
    <row r="7" customFormat="false" ht="33.75" hidden="false" customHeight="true" outlineLevel="0" collapsed="false">
      <c r="A7" s="7" t="s">
        <v>24</v>
      </c>
      <c r="B7" s="8" t="inlineStr">
        <is>
          <t>Có</t>
        </is>
      </c>
      <c r="C7" s="7" t="s">
        <v>25</v>
      </c>
      <c r="D7" s="7" t="s">
        <v>26</v>
      </c>
      <c r="E7" s="8"/>
    </row>
    <row r="8" customFormat="false" ht="33.75" hidden="false" customHeight="true" outlineLevel="0" collapsed="false">
      <c r="A8" s="7" t="s">
        <v>27</v>
      </c>
      <c r="B8" s="8" t="inlineStr">
        <is>
          <t>Có</t>
        </is>
      </c>
      <c r="C8" s="7" t="s">
        <v>28</v>
      </c>
      <c r="D8" s="7" t="s">
        <v>29</v>
      </c>
      <c r="E8" s="8"/>
    </row>
    <row r="9" customFormat="false" ht="33.75" hidden="false" customHeight="true" outlineLevel="0" collapsed="false">
      <c r="A9" s="7" t="s">
        <v>30</v>
      </c>
      <c r="B9" s="8" t="inlineStr">
        <is>
          <t>Có</t>
        </is>
      </c>
      <c r="C9" s="7" t="s">
        <v>31</v>
      </c>
      <c r="D9" s="7" t="s">
        <v>32</v>
      </c>
      <c r="E9" s="8"/>
    </row>
    <row r="10" customFormat="false" ht="33.75" hidden="false" customHeight="true" outlineLevel="0" collapsed="false">
      <c r="A10" s="7" t="s">
        <v>33</v>
      </c>
      <c r="B10" s="8" t="inlineStr">
        <is>
          <t>Có</t>
        </is>
      </c>
      <c r="C10" s="7" t="s">
        <v>34</v>
      </c>
      <c r="D10" s="7" t="s">
        <v>35</v>
      </c>
      <c r="E10" s="8"/>
    </row>
    <row r="12" customFormat="false" ht="15" hidden="false" customHeight="true" outlineLevel="0" collapsed="false">
      <c r="A12" s="9" t="s">
        <v>36</v>
      </c>
      <c r="B12" s="5" t="n">
        <f aca="false">COUNTIF(B5:B10,"Có")</f>
        <v>6</v>
      </c>
    </row>
    <row r="13" customFormat="false" ht="15" hidden="false" customHeight="true" outlineLevel="0" collapsed="false">
      <c r="A13" s="3" t="s">
        <v>37</v>
      </c>
    </row>
  </sheetData>
  <sheetProtection sheet="true" formatColumns="false" formatRows="false"/>
  <dataValidations count="1">
    <dataValidation allowBlank="true" errorStyle="stop" operator="between" showDropDown="false" showErrorMessage="false" showInputMessage="false" sqref="B5:B10" type="list">
      <formula1>"Có,Chưa"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sheetPr filterMode="false">
    <pageSetUpPr fitToPage="false"/>
  </sheetPr>
  <dimension ref="A1:Q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30"/>
    <col collapsed="false" customWidth="true" hidden="false" outlineLevel="0" max="3" min="3" style="1" width="28"/>
    <col collapsed="false" customWidth="true" hidden="false" outlineLevel="0" max="4" min="4" style="1" width="38"/>
    <col collapsed="false" customWidth="true" hidden="false" outlineLevel="0" max="5" min="5" style="1" width="32"/>
    <col collapsed="false" customWidth="true" hidden="false" outlineLevel="0" max="7" min="6" style="1" width="8"/>
    <col collapsed="false" customWidth="true" hidden="false" outlineLevel="0" max="8" min="8" style="1" width="11"/>
    <col collapsed="false" customWidth="true" hidden="false" outlineLevel="0" max="9" min="9" style="1" width="8"/>
    <col collapsed="false" customWidth="true" hidden="false" outlineLevel="0" max="10" min="10" style="1" width="11"/>
    <col collapsed="false" customWidth="true" hidden="false" outlineLevel="0" max="11" min="11" style="1" width="10"/>
    <col collapsed="false" customWidth="true" hidden="false" outlineLevel="0" max="12" min="12" style="1" width="13"/>
    <col collapsed="false" customWidth="true" hidden="false" outlineLevel="0" max="14" min="13" style="1" width="10"/>
    <col collapsed="false" customWidth="true" hidden="false" outlineLevel="0" max="15" min="15" style="1" width="12"/>
    <col collapsed="false" customWidth="true" hidden="false" outlineLevel="0" max="16" min="16" style="1" width="14"/>
    <col collapsed="false" customWidth="true" hidden="false" outlineLevel="0" max="17" min="17" style="1" width="58"/>
  </cols>
  <sheetData>
    <row r="1" customFormat="false" ht="17.25" hidden="false" customHeight="true" outlineLevel="0" collapsed="false">
      <c r="A1" s="2" t="s">
        <v>38</v>
      </c>
    </row>
    <row r="2" customFormat="false" ht="15" hidden="false" customHeight="true" outlineLevel="0" collapsed="false">
      <c r="A2" s="3" t="s">
        <v>39</v>
      </c>
    </row>
    <row r="4" customFormat="false" ht="39" hidden="false" customHeight="true" outlineLevel="0" collapsed="false">
      <c r="A4" s="10" t="s">
        <v>40</v>
      </c>
      <c r="B4" s="10" t="s">
        <v>41</v>
      </c>
      <c r="C4" s="10" t="s">
        <v>42</v>
      </c>
      <c r="D4" s="10" t="s">
        <v>43</v>
      </c>
      <c r="E4" s="10" t="s">
        <v>44</v>
      </c>
      <c r="F4" s="10" t="s">
        <v>45</v>
      </c>
      <c r="G4" s="10" t="s">
        <v>46</v>
      </c>
      <c r="H4" s="10" t="s">
        <v>47</v>
      </c>
      <c r="I4" s="10" t="s">
        <v>48</v>
      </c>
      <c r="J4" s="10" t="s">
        <v>49</v>
      </c>
      <c r="K4" s="10" t="s">
        <v>50</v>
      </c>
      <c r="L4" s="10" t="s">
        <v>51</v>
      </c>
      <c r="M4" s="10" t="s">
        <v>52</v>
      </c>
      <c r="N4" s="10" t="s">
        <v>53</v>
      </c>
      <c r="O4" s="10" t="s">
        <v>54</v>
      </c>
      <c r="P4" s="10" t="s">
        <v>55</v>
      </c>
      <c r="Q4" s="10" t="s">
        <v>56</v>
      </c>
    </row>
    <row r="5" customFormat="false" ht="34.5" hidden="false" customHeight="true" outlineLevel="0" collapsed="false">
      <c r="A5" s="11" t="n">
        <v>1</v>
      </c>
      <c r="B5" s="8" t="inlineStr">
        <is>
          <t>Đọc ảnh hóa đơn giấy, ảnh chụp</t>
        </is>
      </c>
      <c r="C5" s="8" t="inlineStr">
        <is>
          <t>Giảm 50% giờ nhập hóa đơn ảnh</t>
        </is>
      </c>
      <c r="D5" s="8" t="inlineStr">
        <is>
          <t>Ta tin rằng tự động đọc ảnh và trích xuất dữ liệu sẽ giúp nhân viên nhập liệu giảm thời gian xử lý hóa đơn giấy.</t>
        </is>
      </c>
      <c r="E5" s="8" t="inlineStr">
        <is>
          <t>Trung vị thời gian nhập mỗi hóa đơn ảnh giảm ≥50% so với nhập tay trên bộ đề 40 hóa đơn; 0 lỗi mã số thuế hoặc số tiền.</t>
        </is>
      </c>
      <c r="F5" s="8" t="n">
        <v>3</v>
      </c>
      <c r="G5" s="8" t="n">
        <v>4</v>
      </c>
      <c r="H5" s="8" t="n">
        <v>0.8</v>
      </c>
      <c r="I5" s="8" t="n">
        <v>3</v>
      </c>
      <c r="J5" s="8" t="n">
        <v>0.8</v>
      </c>
      <c r="K5" s="8" t="n">
        <v>1</v>
      </c>
      <c r="L5" s="8" t="n">
        <v>0.5</v>
      </c>
      <c r="M5" s="12" t="str">
        <f aca="false">IF(COUNT(F5:L5)&lt;7,"",ROUND(F5*G5*H5/I5*(0.5+0.5*AVERAGE(J5:K5))*(1-0.5*L5),2))</f>
        <v>2.28</v>
      </c>
      <c r="N5" s="12" t="str">
        <f aca="false">IF(M5="","",RANK(M5,$M$5:$M$14))</f>
        <v>4</v>
      </c>
      <c r="O5" s="13" t="str">
        <f aca="false">IF(B5="","",IF(OR(D5="",E5=""),"Thiếu",IF(SUMPRODUCT(--ISNUMBER(SEARCH({"0","1","2","3","4","5","6","7","8","9"},E5)))&gt;0,"Có","Thiếu")))</f>
        <v>Có</v>
      </c>
      <c r="P5" s="14" t="inlineStr">
        <is>
          <t>Tự làm</t>
        </is>
      </c>
      <c r="Q5" s="14" t="inlineStr">
        <is>
          <t>Bản 2 đọc ảnh đã qua cổng (97,3% quy về thực tế, 0 lỗi nghiêm trọng); làm có giám sát, tuần đầu chị Hạnh kiểm 1% và theo dõi cờ thừa. Mục tiêu giảm 50% giờ nhập vẫn cần đo.</t>
        </is>
      </c>
    </row>
    <row r="6" customFormat="false" ht="23.25" hidden="false" customHeight="true" outlineLevel="0" collapsed="false">
      <c r="A6" s="11" t="n">
        <v>2</v>
      </c>
      <c r="B6" s="8" t="inlineStr">
        <is>
          <t>Gắn cờ hóa đơn cần người xem</t>
        </is>
      </c>
      <c r="C6" s="8" t="inlineStr">
        <is>
          <t>Kế toán chỉ xem khoảng 20% hóa đơn</t>
        </is>
      </c>
      <c r="D6" s="8" t="inlineStr">
        <is>
          <t>Ta tin rằng phân loại rủi ro và gắn cờ đúng hóa đơn sẽ giúp kế toán tập trung xem ít hóa đơn hơn mà không bỏ sót lỗi nghiêm trọng.</t>
        </is>
      </c>
      <c r="E6" s="8" t="inlineStr">
        <is>
          <t>Tỷ lệ hóa đơn gắn cờ để người xem ≤20% trên 1.000 hóa đơn; 0 lỗi nghiêm trọng về mã số thuế hoặc số tiền bị bỏ sót.</t>
        </is>
      </c>
      <c r="F6" s="8" t="n">
        <v>5</v>
      </c>
      <c r="G6" s="8" t="n">
        <v>5</v>
      </c>
      <c r="H6" s="8" t="n">
        <v>0.8</v>
      </c>
      <c r="I6" s="8" t="n">
        <v>3</v>
      </c>
      <c r="J6" s="8" t="n">
        <v>0.8</v>
      </c>
      <c r="K6" s="8" t="n">
        <v>1</v>
      </c>
      <c r="L6" s="8" t="n">
        <v>0.4</v>
      </c>
      <c r="M6" s="12" t="str">
        <f aca="false">IF(COUNT(F6:L6)&lt;7,"",ROUND(F6*G6*H6/I6*(0.5+0.5*AVERAGE(J6:K6))*(1-0.5*L6),2))</f>
        <v>5.07</v>
      </c>
      <c r="N6" s="12" t="str">
        <f aca="false">IF(M6="","",RANK(M6,$M$5:$M$14))</f>
        <v>3</v>
      </c>
      <c r="O6" s="13" t="str">
        <f aca="false">IF(B6="","",IF(OR(D6="",E6=""),"Thiếu",IF(SUMPRODUCT(--ISNUMBER(SEARCH({"0","1","2","3","4","5","6","7","8","9"},E6)))&gt;0,"Có","Thiếu")))</f>
        <v>Có</v>
      </c>
      <c r="P6" s="14" t="inlineStr">
        <is>
          <t>Tự làm</t>
        </is>
      </c>
      <c r="Q6" s="14" t="inlineStr">
        <is>
          <t>Ưu tiên giảm lượt kế toán phải xem; tuần đầu chị Hạnh kiểm 1% hóa đơn thật, đếm riêng cờ thừa và cảnh báo ngay nếu sai mã số thuế/số tiền. Ngưỡng ≤20% là mục tiêu nhóm đề xuất.</t>
        </is>
      </c>
    </row>
    <row r="7" customFormat="false" ht="23.25" hidden="false" customHeight="true" outlineLevel="0" collapsed="false">
      <c r="A7" s="11" t="n">
        <v>3</v>
      </c>
      <c r="B7" s="8" t="inlineStr">
        <is>
          <t>Nhập tự động hóa đơn điện tử (tệp gốc)</t>
        </is>
      </c>
      <c r="C7" s="8" t="inlineStr">
        <is>
          <t>Giảm 70% thời gian nhập hóa đơn điện tử</t>
        </is>
      </c>
      <c r="D7" s="8" t="inlineStr">
        <is>
          <t>Ta tin rằng tự động nhập tệp gốc và đối chiếu dữ liệu sẽ giúp kế toán giảm thao tác nhập hóa đơn điện tử.</t>
        </is>
      </c>
      <c r="E7" s="8" t="inlineStr">
        <is>
          <t>Trung vị thời gian nhập mỗi hóa đơn điện tử giảm ≥70% so với hiện tại trên ít nhất 40 hóa đơn; 0 sai mã số thuế hoặc số tiền.</t>
        </is>
      </c>
      <c r="F7" s="8" t="n">
        <v>4</v>
      </c>
      <c r="G7" s="8" t="n">
        <v>4</v>
      </c>
      <c r="H7" s="8" t="n">
        <v>0.8</v>
      </c>
      <c r="I7" s="8" t="n">
        <v>1</v>
      </c>
      <c r="J7" s="8" t="n">
        <v>1</v>
      </c>
      <c r="K7" s="8" t="n">
        <v>1</v>
      </c>
      <c r="L7" s="8" t="n">
        <v>1</v>
      </c>
      <c r="M7" s="12" t="str">
        <f aca="false">IF(COUNT(F7:L7)&lt;7,"",ROUND(F7*G7*H7/I7*(0.5+0.5*AVERAGE(J7:K7))*(1-0.5*L7),2))</f>
        <v>6.4</v>
      </c>
      <c r="N7" s="12" t="str">
        <f aca="false">IF(M7="","",RANK(M7,$M$5:$M$14))</f>
        <v>2</v>
      </c>
      <c r="O7" s="13" t="str">
        <f aca="false">IF(B7="","",IF(OR(D7="",E7=""),"Thiếu",IF(SUMPRODUCT(--ISNUMBER(SEARCH({"0","1","2","3","4","5","6","7","8","9"},E7)))&gt;0,"Có","Thiếu")))</f>
        <v>Có</v>
      </c>
      <c r="P7" s="14" t="inlineStr">
        <is>
          <t>Mua</t>
        </is>
      </c>
      <c r="Q7" s="14" t="inlineStr">
        <is>
          <t>Phần mềm kế toán đang dùng đã có nhập hóa đơn điện tử từ tệp gốc; chọn dùng/tích hợp tính năng sẵn có thay vì xây trùng. Xác nhận tương thích ở văn phòng thử nghiệm.</t>
        </is>
      </c>
    </row>
    <row r="8" customFormat="false" ht="23.25" hidden="false" customHeight="true" outlineLevel="0" collapsed="false">
      <c r="A8" s="11" t="n">
        <v>4</v>
      </c>
      <c r="B8" s="8" t="inlineStr">
        <is>
          <t>Đối chiếu mã số thuế người bán</t>
        </is>
      </c>
      <c r="C8" s="8" t="inlineStr">
        <is>
          <t>Không nhập nhầm người bán</t>
        </is>
      </c>
      <c r="D8" s="8" t="inlineStr">
        <is>
          <t>Ta tin rằng tra cứu mã số thuế và đối chiếu tên người bán trước khi nhập sẽ giúp kế toán không chọn nhầm nhà cung cấp.</t>
        </is>
      </c>
      <c r="E8" s="8" t="inlineStr">
        <is>
          <t>0/40 hóa đơn trong bộ đề có sai mã số thuế hoặc người bán sau đối chiếu.</t>
        </is>
      </c>
      <c r="F8" s="8" t="n">
        <v>5</v>
      </c>
      <c r="G8" s="8" t="n">
        <v>5</v>
      </c>
      <c r="H8" s="8" t="n">
        <v>0.8</v>
      </c>
      <c r="I8" s="8" t="n">
        <v>2</v>
      </c>
      <c r="J8" s="8" t="n">
        <v>0.8</v>
      </c>
      <c r="K8" s="8" t="n">
        <v>1</v>
      </c>
      <c r="L8" s="8" t="n">
        <v>0.3</v>
      </c>
      <c r="M8" s="12" t="str">
        <f aca="false">IF(COUNT(F8:L8)&lt;7,"",ROUND(F8*G8*H8/I8*(0.5+0.5*AVERAGE(J8:K8))*(1-0.5*L8),2))</f>
        <v>8.08</v>
      </c>
      <c r="N8" s="12" t="str">
        <f aca="false">IF(M8="","",RANK(M8,$M$5:$M$14))</f>
        <v>1</v>
      </c>
      <c r="O8" s="13" t="str">
        <f aca="false">IF(B8="","",IF(OR(D8="",E8=""),"Thiếu",IF(SUMPRODUCT(--ISNUMBER(SEARCH({"0","1","2","3","4","5","6","7","8","9"},E8)))&gt;0,"Có","Thiếu")))</f>
        <v>Có</v>
      </c>
      <c r="P8" s="14" t="inlineStr">
        <is>
          <t>Mua</t>
        </is>
      </c>
      <c r="Q8" s="14" t="inlineStr">
        <is>
          <t>Đã có dịch vụ tra cứu mã số thuế để tích hợp; dùng dịch vụ thay vì tự xây, vì hồ sơ yêu cầu 0 sai mã số thuế hoặc số tiền.</t>
        </is>
      </c>
    </row>
    <row r="9" customFormat="false" ht="23.25" hidden="false" customHeight="true" outlineLevel="0" collapsed="false">
      <c r="A9" s="11" t="n">
        <v>5</v>
      </c>
      <c r="B9" s="8" t="inlineStr">
        <is>
          <t>Gợi ý tài khoản hạch toán</t>
        </is>
      </c>
      <c r="C9" s="8" t="inlineStr">
        <is>
          <t>Giảm 30% thời gian hạch toán</t>
        </is>
      </c>
      <c r="D9" s="8" t="inlineStr">
        <is>
          <t>Ta tin rằng gợi ý tài khoản dựa trên lịch sử hạch toán của từng khách hàng sẽ giúp kế toán giảm thời gian định khoản mà vẫn tự xác nhận.</t>
        </is>
      </c>
      <c r="E9" s="8" t="inlineStr">
        <is>
          <t>Trung vị thời gian hạch toán mỗi hóa đơn giảm ≥30% so với hiện tại trên ít nhất 40 hóa đơn; theo dõi tỷ lệ gợi ý cần sửa.</t>
        </is>
      </c>
      <c r="F9" s="8" t="n">
        <v>4</v>
      </c>
      <c r="G9" s="8" t="n">
        <v>3</v>
      </c>
      <c r="H9" s="8" t="n">
        <v>0.5</v>
      </c>
      <c r="I9" s="8" t="n">
        <v>4</v>
      </c>
      <c r="J9" s="8" t="n">
        <v>0.2</v>
      </c>
      <c r="K9" s="8" t="n">
        <v>0.5</v>
      </c>
      <c r="L9" s="8" t="n">
        <v>0.5</v>
      </c>
      <c r="M9" s="12" t="str">
        <f aca="false">IF(COUNT(F9:L9)&lt;7,"",ROUND(F9*G9*H9/I9*(0.5+0.5*AVERAGE(J9:K9))*(1-0.5*L9),2))</f>
        <v>0.76</v>
      </c>
      <c r="N9" s="12" t="str">
        <f aca="false">IF(M9="","",RANK(M9,$M$5:$M$14))</f>
        <v>5</v>
      </c>
      <c r="O9" s="13" t="str">
        <f aca="false">IF(B9="","",IF(OR(D9="",E9=""),"Thiếu",IF(SUMPRODUCT(--ISNUMBER(SEARCH({"0","1","2","3","4","5","6","7","8","9"},E9)))&gt;0,"Có","Thiếu")))</f>
        <v>Có</v>
      </c>
      <c r="P9" s="14" t="inlineStr">
        <is>
          <t>Chờ</t>
        </is>
      </c>
      <c r="Q9" s="14" t="inlineStr">
        <is>
          <t>Chờ có dữ liệu hạch toán riêng của doanh nghiệp khách hàng rồi thử trên bộ ca có chuyên gia đối chiếu; hồ sơ hiện chưa có loại dữ liệu này.</t>
        </is>
      </c>
    </row>
    <row r="10" customFormat="false" ht="23.25" hidden="false" customHeight="true" outlineLevel="0" collapsed="false">
      <c r="A10" s="11" t="n">
        <v>6</v>
      </c>
      <c r="B10" s="8" t="inlineStr">
        <is>
          <t>Trả lời câu hỏi thuế chung cho khách của văn phòng</t>
        </is>
      </c>
      <c r="C10" s="8" t="inlineStr">
        <is>
          <t>Bớt cuộc gọi hỏi đáp</t>
        </is>
      </c>
      <c r="D10" s="8" t="inlineStr">
        <is>
          <t>Ta tin rằng trợ lý trả lời câu hỏi thuế phổ biến có dẫn nguồn chính thức sẽ giúp khách tự giải đáp câu hỏi chung và giảm cuộc gọi cho văn phòng.</t>
        </is>
      </c>
      <c r="E10" s="8" t="inlineStr">
        <is>
          <t>Mục tiêu nhóm đề xuất: giảm ≥20% số cuộc gọi hỏi đáp thuế mỗi tuần so với 4 tuần nền, theo dõi trong 4 tuần; 0 câu trả lời sai nghiêm trọng.</t>
        </is>
      </c>
      <c r="F10" s="8" t="n">
        <v>3</v>
      </c>
      <c r="G10" s="8" t="n">
        <v>2</v>
      </c>
      <c r="H10" s="8" t="n">
        <v>0.5</v>
      </c>
      <c r="I10" s="8" t="n">
        <v>3</v>
      </c>
      <c r="J10" s="8" t="n">
        <v>0.3</v>
      </c>
      <c r="K10" s="8" t="n">
        <v>0.3</v>
      </c>
      <c r="L10" s="8" t="n">
        <v>1</v>
      </c>
      <c r="M10" s="12" t="str">
        <f aca="false">IF(COUNT(F10:L10)&lt;7,"",ROUND(F10*G10*H10/I10*(0.5+0.5*AVERAGE(J10:K10))*(1-0.5*L10),2))</f>
        <v>0.33</v>
      </c>
      <c r="N10" s="12" t="str">
        <f aca="false">IF(M10="","",RANK(M10,$M$5:$M$14))</f>
        <v>6</v>
      </c>
      <c r="O10" s="13" t="str">
        <f aca="false">IF(B10="","",IF(OR(D10="",E10=""),"Thiếu",IF(SUMPRODUCT(--ISNUMBER(SEARCH({"0","1","2","3","4","5","6","7","8","9"},E10)))&gt;0,"Có","Thiếu")))</f>
        <v>Có</v>
      </c>
      <c r="P10" s="14" t="inlineStr">
        <is>
          <t>Chờ</t>
        </is>
      </c>
      <c r="Q10" s="14" t="inlineStr">
        <is>
          <t>Chờ xác lập bộ câu hỏi thuế có nguồn chính thức, cổng chuyển người khi thiếu căn cứ và bộ đánh giá; câu hỏi chung dễ được mô hình miễn phí trả lời nên khác biệt thấp.</t>
        </is>
      </c>
    </row>
    <row r="11" customFormat="false" ht="15" hidden="false" customHeight="true" outlineLevel="0" collapsed="false">
      <c r="A11" s="11" t="n">
        <v>7</v>
      </c>
      <c r="B11" s="8"/>
      <c r="C11" s="8"/>
      <c r="D11" s="8"/>
      <c r="E11" s="8"/>
      <c r="F11" s="8"/>
      <c r="G11" s="8"/>
      <c r="H11" s="8"/>
      <c r="I11" s="8"/>
      <c r="J11" s="8"/>
      <c r="K11" s="8"/>
      <c r="L11" s="8"/>
      <c r="M11" s="12" t="str">
        <f aca="false">IF(COUNT(F11:L11)&lt;7,"",ROUND(F11*G11*H11/I11*(0.5+0.5*AVERAGE(J11:K11))*(1-0.5*L11),2))</f>
        <v/>
      </c>
      <c r="N11" s="12" t="str">
        <f aca="false">IF(M11="","",RANK(M11,$M$5:$M$14))</f>
        <v/>
      </c>
      <c r="O11" s="13" t="str">
        <f aca="false">IF(B11="","",IF(OR(D11="",E11=""),"Thiếu",IF(SUMPRODUCT(--ISNUMBER(SEARCH({"0","1","2","3","4","5","6","7","8","9"},E11)))&gt;0,"Có","Thiếu")))</f>
        <v/>
      </c>
      <c r="P11" s="14"/>
      <c r="Q11" s="14"/>
    </row>
    <row r="12" customFormat="false" ht="15" hidden="false" customHeight="true" outlineLevel="0" collapsed="false">
      <c r="A12" s="11" t="n">
        <v>8</v>
      </c>
      <c r="B12" s="8"/>
      <c r="C12" s="8"/>
      <c r="D12" s="8"/>
      <c r="E12" s="8"/>
      <c r="F12" s="8"/>
      <c r="G12" s="8"/>
      <c r="H12" s="8"/>
      <c r="I12" s="8"/>
      <c r="J12" s="8"/>
      <c r="K12" s="8"/>
      <c r="L12" s="8"/>
      <c r="M12" s="12" t="str">
        <f aca="false">IF(COUNT(F12:L12)&lt;7,"",ROUND(F12*G12*H12/I12*(0.5+0.5*AVERAGE(J12:K12))*(1-0.5*L12),2))</f>
        <v/>
      </c>
      <c r="N12" s="12" t="str">
        <f aca="false">IF(M12="","",RANK(M12,$M$5:$M$14))</f>
        <v/>
      </c>
      <c r="O12" s="13" t="str">
        <f aca="false">IF(B12="","",IF(OR(D12="",E12=""),"Thiếu",IF(SUMPRODUCT(--ISNUMBER(SEARCH({"0","1","2","3","4","5","6","7","8","9"},E12)))&gt;0,"Có","Thiếu")))</f>
        <v/>
      </c>
      <c r="P12" s="14"/>
      <c r="Q12" s="14"/>
    </row>
    <row r="13" customFormat="false" ht="15" hidden="false" customHeight="true" outlineLevel="0" collapsed="false">
      <c r="A13" s="11" t="n">
        <v>9</v>
      </c>
      <c r="B13" s="8"/>
      <c r="C13" s="8"/>
      <c r="D13" s="8"/>
      <c r="E13" s="8"/>
      <c r="F13" s="8"/>
      <c r="G13" s="8"/>
      <c r="H13" s="8"/>
      <c r="I13" s="8"/>
      <c r="J13" s="8"/>
      <c r="K13" s="8"/>
      <c r="L13" s="8"/>
      <c r="M13" s="12" t="str">
        <f aca="false">IF(COUNT(F13:L13)&lt;7,"",ROUND(F13*G13*H13/I13*(0.5+0.5*AVERAGE(J13:K13))*(1-0.5*L13),2))</f>
        <v/>
      </c>
      <c r="N13" s="12" t="str">
        <f aca="false">IF(M13="","",RANK(M13,$M$5:$M$14))</f>
        <v/>
      </c>
      <c r="O13" s="13" t="str">
        <f aca="false">IF(B13="","",IF(OR(D13="",E13=""),"Thiếu",IF(SUMPRODUCT(--ISNUMBER(SEARCH({"0","1","2","3","4","5","6","7","8","9"},E13)))&gt;0,"Có","Thiếu")))</f>
        <v/>
      </c>
      <c r="P13" s="14"/>
      <c r="Q13" s="14"/>
    </row>
    <row r="14" customFormat="false" ht="15" hidden="false" customHeight="true" outlineLevel="0" collapsed="false">
      <c r="A14" s="11" t="n">
        <v>10</v>
      </c>
      <c r="B14" s="8"/>
      <c r="C14" s="8"/>
      <c r="D14" s="8"/>
      <c r="E14" s="8"/>
      <c r="F14" s="8"/>
      <c r="G14" s="8"/>
      <c r="H14" s="8"/>
      <c r="I14" s="8"/>
      <c r="J14" s="8"/>
      <c r="K14" s="8"/>
      <c r="L14" s="8"/>
      <c r="M14" s="12" t="str">
        <f aca="false">IF(COUNT(F14:L14)&lt;7,"",ROUND(F14*G14*H14/I14*(0.5+0.5*AVERAGE(J14:K14))*(1-0.5*L14),2))</f>
        <v/>
      </c>
      <c r="N14" s="12" t="str">
        <f aca="false">IF(M14="","",RANK(M14,$M$5:$M$14))</f>
        <v/>
      </c>
      <c r="O14" s="13" t="str">
        <f aca="false">IF(B14="","",IF(OR(D14="",E14=""),"Thiếu",IF(SUMPRODUCT(--ISNUMBER(SEARCH({"0","1","2","3","4","5","6","7","8","9"},E14)))&gt;0,"Có","Thiếu")))</f>
        <v/>
      </c>
      <c r="P14" s="14"/>
      <c r="Q14" s="14"/>
    </row>
  </sheetData>
  <sheetProtection sheet="true" formatColumns="false" formatRows="false"/>
  <dataValidations count="4">
    <dataValidation allowBlank="true" error="Nhập số nguyên từ 1 đến 5." errorStyle="stop" errorTitle="Ngoài thang điểm" operator="between" showDropDown="false" showErrorMessage="true" showInputMessage="false" sqref="F5:G14 I5:I14" type="whole">
      <formula1>1</formula1>
      <formula2>5</formula2>
    </dataValidation>
    <dataValidation allowBlank="true" error="Dùng 0,5 (đoán), 0,8 (có dấu hiệu) hoặc 1 (có số liệu)." errorStyle="stop" errorTitle="Mức tự tin" operator="between" showDropDown="false" showErrorMessage="true" showInputMessage="false" sqref="H5:H14" type="decimal">
      <formula1>0.5</formula1>
      <formula2>1</formula2>
    </dataValidation>
    <dataValidation allowBlank="true" error="Nhập số từ 0 đến 1, ví dụ 0,6." errorStyle="stop" errorTitle="Ngoài thang 0–1" operator="between" showDropDown="false" showErrorMessage="true" showInputMessage="false" sqref="J5:L14" type="decimal">
      <formula1>0</formula1>
      <formula2>1</formula2>
    </dataValidation>
    <dataValidation allowBlank="true" errorStyle="stop" operator="between" showDropDown="false" showErrorMessage="false" showInputMessage="false" sqref="P5:P14" type="list">
      <formula1>"Tự làm,Mua,Chờ,Không làm"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sheetPr filterMode="false">
    <pageSetUpPr fitToPage="false"/>
  </sheetPr>
  <dimension ref="A1:M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20"/>
    <col collapsed="false" customWidth="true" hidden="false" outlineLevel="0" max="3" min="3" style="1" width="34"/>
    <col collapsed="false" customWidth="true" hidden="false" outlineLevel="0" max="4" min="4" style="1" width="30"/>
    <col collapsed="false" customWidth="true" hidden="false" outlineLevel="0" max="5" min="5" style="1" width="44"/>
    <col collapsed="false" customWidth="true" hidden="false" outlineLevel="0" max="6" min="6" style="1" width="36"/>
    <col collapsed="false" customWidth="true" hidden="false" outlineLevel="0" max="8" min="7" style="1" width="12"/>
    <col collapsed="false" customWidth="true" hidden="false" outlineLevel="0" max="9" min="9" style="1" width="18"/>
    <col collapsed="false" customWidth="true" hidden="false" outlineLevel="0" max="10" min="10" style="1" width="14"/>
    <col collapsed="false" customWidth="true" hidden="false" outlineLevel="0" max="11" min="11" style="1" width="12"/>
    <col collapsed="false" customWidth="true" hidden="false" outlineLevel="0" max="12" min="12" style="1" width="13"/>
    <col collapsed="false" customWidth="true" hidden="false" outlineLevel="0" max="13" min="13" style="1" width="11"/>
  </cols>
  <sheetData>
    <row r="1" customFormat="false" ht="17.25" hidden="false" customHeight="true" outlineLevel="0" collapsed="false">
      <c r="A1" s="2" t="s">
        <v>57</v>
      </c>
    </row>
    <row r="2" customFormat="false" ht="15" hidden="false" customHeight="true" outlineLevel="0" collapsed="false">
      <c r="A2" s="3" t="s">
        <v>58</v>
      </c>
    </row>
    <row r="4" customFormat="false" ht="26.25" hidden="false" customHeight="true" outlineLevel="0" collapsed="false">
      <c r="A4" s="10" t="s">
        <v>59</v>
      </c>
      <c r="B4" s="10" t="s">
        <v>60</v>
      </c>
      <c r="C4" s="10" t="s">
        <v>61</v>
      </c>
      <c r="D4" s="10" t="s">
        <v>62</v>
      </c>
      <c r="E4" s="10" t="s">
        <v>63</v>
      </c>
      <c r="F4" s="10" t="s">
        <v>64</v>
      </c>
      <c r="G4" s="10" t="s">
        <v>65</v>
      </c>
      <c r="H4" s="10" t="s">
        <v>66</v>
      </c>
      <c r="I4" s="10" t="s">
        <v>67</v>
      </c>
      <c r="J4" s="10" t="s">
        <v>68</v>
      </c>
      <c r="K4" s="10" t="s">
        <v>69</v>
      </c>
      <c r="L4" s="10" t="s">
        <v>70</v>
      </c>
      <c r="M4" s="10" t="s">
        <v>71</v>
      </c>
    </row>
    <row r="5" customFormat="false" ht="48" hidden="false" customHeight="true" outlineLevel="0" collapsed="false">
      <c r="A5" s="11" t="n">
        <v>0</v>
      </c>
      <c r="B5" s="8" t="s">
        <v>72</v>
      </c>
      <c r="C5" s="8" t="inlineStr">
        <is>
          <t>AI đọc hóa đơn, trích xuất trường và gợi ý mã số thuế/cờ; không tự ghi sổ.</t>
        </is>
      </c>
      <c r="D5" s="8" t="inlineStr">
        <is>
          <t>Kế toán viên công ty kiểm tra 100%, sửa trường sai; kế toán khách hàng xác nhận và ghi sổ.</t>
        </is>
      </c>
      <c r="E5" s="8"/>
      <c r="F5" s="8" t="inlineStr">
        <is>
          <t>Bộ đề 40 hóa đơn đủ 4 tầng; phân quyền truy cập và lưu nhật ký; bảo vệ ảnh/tệp chứa thông tin doanh nghiệp.</t>
        </is>
      </c>
      <c r="G5" s="8" t="inlineStr">
        <is>
          <t>0-1 tháng: chạy lại bộ 40 ca và hoàn tất kiểm tra chuyên gia trước khi rời trạng thái gợi ý.</t>
        </is>
      </c>
      <c r="H5" s="15" t="n">
        <v>1.0</v>
      </c>
      <c r="I5" s="14" t="inlineStr">
        <v>73</v>
        <is>
          <t>Người của mình</t>
        </is>
      </c>
      <c r="J5" s="16">
        <f aca="false">IF(H5="","",$B$12+$B$13+IF(I5="Người của mình",H5*$B$14*$B$15/60,0))</f>
        <v>1704.0</v>
      </c>
      <c r="K5" s="17">
        <f aca="false">IF(J5="","",IFERROR(($B$16-$B$17*J5)/$B$16,""))</f>
        <v>0.2445743073047858942065491184</v>
      </c>
      <c r="L5" s="18" t="str">
        <f aca="false">IF(K5="","",IF(K5&gt;=0.6,"Đạt","Dưới ngưỡng"))</f>
        <v>Dưới ngưỡng</v>
      </c>
    </row>
    <row r="6" customFormat="false" ht="48" hidden="false" customHeight="true" outlineLevel="0" collapsed="false">
      <c r="A6" s="11" t="n">
        <v>1</v>
      </c>
      <c r="B6" s="8" t="s">
        <v>74</v>
      </c>
      <c r="C6" s="8" t="inlineStr">
        <is>
          <t>AI trích xuất dữ liệu và gắn cờ hóa đơn rủi ro; chỉ đề xuất, chưa tự ghi sổ.</t>
        </is>
      </c>
      <c r="D6" s="8" t="inlineStr">
        <is>
          <t>Kế toán viên công ty duyệt mọi hóa đơn bị gắn cờ và mẫu ngẫu nhiên để tổng tỷ lệ duyệt khoảng 20%; kế toán khách hàng ghi sổ.</t>
        </is>
      </c>
      <c r="E6" s="8" t="inlineStr">
        <is>
          <t>Trên 40 hóa đơn đủ 4 tầng: tỷ lệ đạt quy về thực tế ≥95%, 0 lỗi nghiêm trọng, 0 tầng tụt, κ≥0,6; chị Hạnh xác nhận.</t>
        </is>
      </c>
      <c r="F6" s="8" t="inlineStr">
        <is>
          <t>Kết nối đọc tệp gốc/ảnh và tra cứu mã số thuế; bộ đề 40 ca đủ 4 tầng; có nhật ký và nút dừng.</t>
        </is>
      </c>
      <c r="G6" s="8" t="inlineStr">
        <is>
          <t>0-3 tháng: vào Mức 1 sau cổng; tuần đầu chị Hạnh kiểm 1%, đo riêng cờ thừa, cảnh báo ngay lỗi mã số thuế/tiền.</t>
        </is>
      </c>
      <c r="H6" s="15" t="n">
        <v>0.2</v>
      </c>
      <c r="I6" s="14" t="inlineStr">
        <v>73</v>
        <is>
          <t>Người của mình</t>
        </is>
      </c>
      <c r="J6" s="16">
        <f aca="false">IF(H6="","",$B$12+$B$13+IF(I6="Người của mình",H6*$B$14*$B$15/60,0))</f>
        <v>704.00</v>
      </c>
      <c r="K6" s="17">
        <f aca="false">IF(J6="","",IFERROR(($B$16-$B$17*J6)/$B$16,""))</f>
        <v>0.6878992443324937027707808564</v>
      </c>
      <c r="L6" s="18" t="str">
        <f aca="false">IF(K6="","",IF(K6&gt;=0.6,"Đạt","Dưới ngưỡng"))</f>
        <v>Đạt</v>
      </c>
      <c r="M6" s="18" t="str">
        <f aca="false">IF(E6="","",IF(SUMPRODUCT(--ISNUMBER(SEARCH({"0","1","2","3","4","5","6","7","8","9"},E6)))&gt;0,"Có","Thiếu"))</f>
        <v>Có</v>
      </c>
    </row>
    <row r="7" customFormat="false" ht="48" hidden="false" customHeight="true" outlineLevel="0" collapsed="false">
      <c r="A7" s="11" t="n">
        <v>2</v>
      </c>
      <c r="B7" s="8" t="s">
        <v>75</v>
      </c>
      <c r="C7" s="8" t="inlineStr">
        <is>
          <t>AI nhập hóa đơn điện tử từ tệp gốc và đối chiếu mã số thuế; chuyển trường hợp bất thường cho người xem.</t>
        </is>
      </c>
      <c r="D7" s="8" t="inlineStr">
        <is>
          <t>Kế toán viên công ty duyệt mọi trường hợp bị gắn cờ và mẫu kiểm tra để tổng tỷ lệ duyệt khoảng 10%; kế toán khách hàng xác nhận.</t>
        </is>
      </c>
      <c r="E7" s="8" t="inlineStr">
        <is>
          <t>Shadow mode trên 120 hóa đơn đủ 4 tầng: 0 lỗi mã số thuế/số tiền, 0 tầng tụt, cờ thừa ≤20%; chị Hạnh và anh Tùng xác nhận.</t>
        </is>
      </c>
      <c r="F7" s="8" t="inlineStr">
        <is>
          <t>Tích hợp tính năng nhập tệp gốc sẵn có và dịch vụ tra cứu mã số thuế; xác thực ánh xạ trường, nhật ký và rollback.</t>
        </is>
      </c>
      <c r="G7" s="8" t="inlineStr">
        <is>
          <t>3-6 tháng: chạy shadow mode 120 hóa đơn; chỉ sang Mức 2 khi qua cổng, nếu chưa thì duy trì Mức 1.</t>
        </is>
      </c>
      <c r="H7" s="15" t="n">
        <v>0.1</v>
      </c>
      <c r="I7" s="14" t="inlineStr">
        <v>73</v>
        <is>
          <t>Người của mình</t>
        </is>
      </c>
      <c r="J7" s="16">
        <f aca="false">IF(H7="","",$B$12+$B$13+IF(I7="Người của mình",H7*$B$14*$B$15/60,0))</f>
        <v>579.00</v>
      </c>
      <c r="K7" s="17">
        <f aca="false">IF(J7="","",IFERROR(($B$16-$B$17*J7)/$B$16,""))</f>
        <v>0.7433148614609571788413098237</v>
      </c>
      <c r="L7" s="18" t="str">
        <f aca="false">IF(K7="","",IF(K7&gt;=0.6,"Đạt","Dưới ngưỡng"))</f>
        <v>Đạt</v>
      </c>
      <c r="M7" s="18" t="str">
        <f aca="false">IF(E7="","",IF(SUMPRODUCT(--ISNUMBER(SEARCH({"0","1","2","3","4","5","6","7","8","9"},E7)))&gt;0,"Có","Thiếu"))</f>
        <v>Có</v>
      </c>
    </row>
    <row r="8" customFormat="false" ht="48" hidden="false" customHeight="true" outlineLevel="0" collapsed="false">
      <c r="A8" s="11" t="n">
        <v>3</v>
      </c>
      <c r="B8" s="8" t="s">
        <v>76</v>
      </c>
      <c r="C8" s="8" t="inlineStr">
        <is>
          <t>Tự nhập hóa đơn chuẩn đã qua kiểm tra; gắn cờ ngoại lệ và dừng tự nhập khi phát hiện lỗi nghiêm trọng.</t>
        </is>
      </c>
      <c r="D8" s="8" t="inlineStr">
        <is>
          <t>Kế toán viên công ty duyệt mọi cờ và mẫu ngẫu nhiên để tổng tỷ lệ duyệt khoảng 5%; chị Hạnh rà soát hàng tháng.</t>
        </is>
      </c>
      <c r="E8" s="8" t="inlineStr">
        <is>
          <t>Trên 300 hóa đơn đủ 4 tầng: 0 lỗi mã số thuế/số tiền, 0 lỗi nghiêm trọng bị bỏ sót, cờ thừa ≤10%; chị Hạnh xác nhận.</t>
        </is>
      </c>
      <c r="F8" s="8" t="inlineStr">
        <is>
          <t>Theo dõi lỗi theo tầng trên dữ liệu thật; phân quyền, nhật ký, cảnh báo và rollback; không gợi ý hạch toán khi thiếu dữ liệu khách hàng.</t>
        </is>
      </c>
      <c r="G8" s="8" t="inlineStr">
        <is>
          <t>6-12 tháng: chỉ mở cho hóa đơn sạch sau cổng 300 ca; rà soát hàng tháng, dừng/hạ mức ngay khi có lỗi nghiêm trọng.</t>
        </is>
      </c>
      <c r="H8" s="15" t="n">
        <v>0.05</v>
      </c>
      <c r="I8" s="14" t="inlineStr">
        <v>73</v>
        <is>
          <t>Người của mình</t>
        </is>
      </c>
      <c r="J8" s="16">
        <f aca="false">IF(H8="","",$B$12+$B$13+IF(I8="Người của mình",H8*$B$14*$B$15/60,0))</f>
        <v>516.500</v>
      </c>
      <c r="K8" s="17">
        <f aca="false">IF(J8="","",IFERROR(($B$16-$B$17*J8)/$B$16,""))</f>
        <v>0.7710226700251889168765743073</v>
      </c>
      <c r="L8" s="18" t="str">
        <f aca="false">IF(K8="","",IF(K8&gt;=0.6,"Đạt","Dưới ngưỡng"))</f>
        <v>Đạt</v>
      </c>
      <c r="M8" s="18" t="str">
        <f aca="false">IF(E8="","",IF(SUMPRODUCT(--ISNUMBER(SEARCH({"0","1","2","3","4","5","6","7","8","9"},E8)))&gt;0,"Có","Thiếu"))</f>
        <v>Có</v>
      </c>
    </row>
    <row r="11" customFormat="false" ht="15" hidden="false" customHeight="true" outlineLevel="0" collapsed="false">
      <c r="A11" s="9" t="s">
        <v>77</v>
      </c>
    </row>
    <row r="12" customFormat="false" ht="15" hidden="false" customHeight="true" outlineLevel="0" collapsed="false">
      <c r="A12" s="19" t="s">
        <v>78</v>
      </c>
      <c r="B12" s="20" t="n">
        <v>254</v>
      </c>
      <c r="C12" s="21" t="s">
        <v>79</v>
      </c>
    </row>
    <row r="13" customFormat="false" ht="15" hidden="false" customHeight="true" outlineLevel="0" collapsed="false">
      <c r="A13" s="19" t="s">
        <v>80</v>
      </c>
      <c r="B13" s="20" t="n">
        <v>200</v>
      </c>
      <c r="C13" s="21" t="s">
        <v>81</v>
      </c>
    </row>
    <row r="14" customFormat="false" ht="15" hidden="false" customHeight="true" outlineLevel="0" collapsed="false">
      <c r="A14" s="19" t="s">
        <v>82</v>
      </c>
      <c r="B14" s="22" t="n">
        <v>1.5</v>
      </c>
      <c r="C14" s="21" t="s">
        <v>83</v>
      </c>
    </row>
    <row r="15" customFormat="false" ht="15" hidden="false" customHeight="true" outlineLevel="0" collapsed="false">
      <c r="A15" s="19" t="s">
        <v>84</v>
      </c>
      <c r="B15" s="20" t="n">
        <v>50000</v>
      </c>
      <c r="C15" s="21" t="s">
        <v>85</v>
      </c>
    </row>
    <row r="16" customFormat="false" ht="15" hidden="false" customHeight="true" outlineLevel="0" collapsed="false">
      <c r="A16" s="19" t="s">
        <v>86</v>
      </c>
      <c r="B16" s="20" t="n">
        <v>3970000</v>
      </c>
      <c r="C16" s="21" t="s">
        <v>87</v>
      </c>
    </row>
    <row r="17" customFormat="false" ht="15" hidden="false" customHeight="true" outlineLevel="0" collapsed="false">
      <c r="A17" s="19" t="s">
        <v>88</v>
      </c>
      <c r="B17" s="20" t="n">
        <v>1760</v>
      </c>
      <c r="C17" s="21" t="s">
        <v>89</v>
      </c>
    </row>
    <row r="18" customFormat="false" ht="15" hidden="false" customHeight="true" outlineLevel="0" collapsed="false">
      <c r="A18" s="19" t="s">
        <v>90</v>
      </c>
      <c r="B18" s="14" t="s">
        <v>91</v>
      </c>
      <c r="C18" s="21" t="s">
        <v>92</v>
      </c>
    </row>
    <row r="19" customFormat="false" ht="15" hidden="false" customHeight="true" outlineLevel="0" collapsed="false">
      <c r="A19" s="19" t="s">
        <v>93</v>
      </c>
      <c r="B19" s="14" t="s">
        <v>94</v>
      </c>
      <c r="C19" s="21" t="s">
        <v>95</v>
      </c>
    </row>
    <row r="20" customFormat="false" ht="15" hidden="false" customHeight="true" outlineLevel="0" collapsed="false">
      <c r="A20" s="19" t="s">
        <v>96</v>
      </c>
      <c r="B20" s="23" t="n">
        <v>7</v>
      </c>
      <c r="C20" s="21" t="s">
        <v>97</v>
      </c>
    </row>
    <row r="22" customFormat="false" ht="15" hidden="false" customHeight="true" outlineLevel="0" collapsed="false">
      <c r="A22" s="21" t="s">
        <v>98</v>
      </c>
    </row>
    <row r="23" customFormat="false" ht="15" hidden="false" customHeight="true" outlineLevel="0" collapsed="false">
      <c r="A23" s="21"/>
    </row>
  </sheetData>
  <sheetProtection sheet="true" formatColumns="false" formatRows="false"/>
  <dataValidations count="2">
    <dataValidation allowBlank="true" errorStyle="stop" operator="between" showDropDown="false" showErrorMessage="false" showInputMessage="false" sqref="I5:I8" type="list">
      <formula1>"Người của mình,Nhân viên cửa hàng"</formula1>
      <formula2>0</formula2>
    </dataValidation>
    <dataValidation allowBlank="true" errorStyle="stop" operator="between" showDropDown="false" showErrorMessage="false" showInputMessage="false" sqref="H5:H8" type="decimal">
      <formula1>0</formula1>
      <formula2>1</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sheetPr filterMode="false">
    <pageSetUpPr fitToPage="false"/>
  </sheetPr>
  <dimension ref="A1:D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4" min="2" style="1" width="42"/>
  </cols>
  <sheetData>
    <row r="1" customFormat="false" ht="17.25" hidden="false" customHeight="true" outlineLevel="0" collapsed="false">
      <c r="A1" s="2" t="s">
        <v>99</v>
      </c>
    </row>
    <row r="2" customFormat="false" ht="15" hidden="false" customHeight="true" outlineLevel="0" collapsed="false">
      <c r="A2" s="3" t="s">
        <v>100</v>
      </c>
    </row>
    <row r="4" customFormat="false" ht="15" hidden="false" customHeight="true" outlineLevel="0" collapsed="false">
      <c r="A4" s="10" t="s">
        <v>101</v>
      </c>
      <c r="B4" s="10" t="s">
        <v>102</v>
      </c>
      <c r="C4" s="10" t="s">
        <v>103</v>
      </c>
      <c r="D4" s="10" t="s">
        <v>104</v>
      </c>
    </row>
    <row r="5" customFormat="false" ht="48" hidden="false" customHeight="true" outlineLevel="0" collapsed="false">
      <c r="A5" s="24" t="s">
        <v>105</v>
      </c>
      <c r="B5" s="8" t="inlineStr">
        <is>
          <t>0-3 tháng: dùng/tích hợp nhập tệp gốc và tra cứu mã số thuế; thử gắn cờ rủi ro và đọc ảnh có giám sát. Chờ gợi ý hạch toán và hỏi đáp thuế.</t>
        </is>
      </c>
      <c r="C5" s="8"/>
      <c r="D5" s="8"/>
    </row>
    <row r="6" customFormat="false" ht="48" hidden="false" customHeight="true" outlineLevel="0" collapsed="false">
      <c r="A6" s="24" t="s">
        <v>106</v>
      </c>
      <c r="B6" s="8" t="inlineStr">
        <is>
          <t>Ta tin rằng dùng nhập tệp gốc, tra cứu mã số thuế và gắn cờ có duyệt sẽ giảm thời gian nhập mà không để lọt lỗi mã số thuế hoặc số tiền.</t>
        </is>
      </c>
      <c r="C6" s="8"/>
      <c r="D6" s="8"/>
    </row>
    <row r="7" customFormat="false" ht="48" hidden="false" customHeight="true" outlineLevel="0" collapsed="false">
      <c r="A7" s="24" t="s">
        <v>44</v>
      </c>
      <c r="B7" s="8" t="inlineStr">
        <is>
          <t>Ảnh: giảm ≥50% trung vị thời gian/hóa đơn; tệp gốc: giảm ≥70%; 0 lỗi nghiêm trọng; ≤20% cần xem. Đo thời gian trên ≥40 hóa đơn, rồi chạy shadow 120 hóa đơn.</t>
        </is>
      </c>
      <c r="C7" s="8"/>
      <c r="D7" s="8"/>
    </row>
    <row r="8" customFormat="false" ht="48" hidden="false" customHeight="true" outlineLevel="0" collapsed="false">
      <c r="A8" s="24" t="s">
        <v>107</v>
      </c>
      <c r="B8" s="8" t="inlineStr">
        <is>
          <t>Mức 1: Hỗ trợ có duyệt, khoảng 20% tổng hóa đơn được duyệt (mọi cờ và mẫu). Chỉ lên Mức 2, khoảng 10% duyệt, sau khi qua cổng.</t>
        </is>
      </c>
      <c r="C8" s="8"/>
      <c r="D8" s="8"/>
    </row>
    <row r="9" customFormat="false" ht="48" hidden="false" customHeight="true" outlineLevel="0" collapsed="false">
      <c r="A9" s="24" t="s">
        <v>108</v>
      </c>
      <c r="B9" s="8" t="inlineStr">
        <is>
          <t>Mức 1: 40 hóa đơn đủ 4 tầng, đạt thực tế ≥95%, 0 lỗi nghiêm trọng, 0 tầng tụt, κ≥0,6. Mức 2: 120 hóa đơn shadow, 0 sai mã số thuế/tiền. Mức 3: 300 hóa đơn, 0 lỗi nghiêm trọng. Chị Hạnh/anh Tùng xác nhận.</t>
        </is>
      </c>
      <c r="C9" s="8"/>
      <c r="D9" s="8"/>
    </row>
    <row r="10" customFormat="false" ht="48" hidden="false" customHeight="true" outlineLevel="0" collapsed="false">
      <c r="A10" s="24" t="s">
        <v>109</v>
      </c>
      <c r="B10" s="8" t="inlineStr">
        <is>
          <t>Có bộ đề 40 hóa đơn đủ 4 tầng, tính năng nhập tệp gốc sẵn có, dịch vụ tra cứu mã số thuế, phân quyền/nhật ký/rollback. Chưa có dữ liệu hạch toán khách hàng; Hạnh có 3 giờ/tuần, Tùng cũng chấm được.</t>
        </is>
      </c>
      <c r="C10" s="8"/>
      <c r="D10" s="8"/>
    </row>
    <row r="11" customFormat="false" ht="48" hidden="false" customHeight="true" outlineLevel="0" collapsed="false">
      <c r="A11" s="24" t="s">
        <v>110</v>
      </c>
      <c r="B11" s="8" t="inlineStr">
        <is>
          <t>AI 254đ + hạ tầng 200đ/việc; duyệt 20% tốn 250đ, tổng 704đ/việc; doanh thu 3,97 triệu/khách/tháng, 1.760 việc, biên gộp 68,8%. 65% doanh thu từ 30% văn phòng; kịch bản xấu hết tiền tháng 7.</t>
        </is>
      </c>
      <c r="C11" s="8"/>
      <c r="D11" s="8"/>
    </row>
    <row r="12" customFormat="false" ht="48" hidden="false" customHeight="true" outlineLevel="0" collapsed="false">
      <c r="A12" s="24" t="s">
        <v>111</v>
      </c>
      <c r="B12" s="8" t="inlineStr">
        <is>
          <t>Nếu doanh thu bình quân &lt;3,71 triệu đồng/văn phòng/tháng trong 2 tháng liên tiếp trên ≥10 văn phòng thì dừng mở rộng. Nếu có lỗi nghiêm trọng mã số thuế/tiền, dừng tự nhập và lùi về Mức 1 để điều tra.</t>
        </is>
      </c>
      <c r="C12" s="8"/>
      <c r="D12" s="8"/>
    </row>
  </sheetData>
  <sheetProtection sheet="true" formatColumns="false" formatRows="fals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sheetPr filterMode="false">
    <pageSetUpPr fitToPage="false"/>
  </sheetPr>
  <dimension ref="A1:D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3" min="2" style="1" width="40"/>
    <col collapsed="false" customWidth="true" hidden="false" outlineLevel="0" max="4" min="4" style="1" width="28"/>
  </cols>
  <sheetData>
    <row r="1" customFormat="false" ht="17.25" hidden="false" customHeight="true" outlineLevel="0" collapsed="false">
      <c r="A1" s="2" t="s">
        <v>112</v>
      </c>
    </row>
    <row r="2" customFormat="false" ht="15" hidden="false" customHeight="true" outlineLevel="0" collapsed="false">
      <c r="A2" s="3" t="s">
        <v>113</v>
      </c>
    </row>
    <row r="4" customFormat="false" ht="15" hidden="false" customHeight="true" outlineLevel="0" collapsed="false">
      <c r="A4" s="10" t="s">
        <v>114</v>
      </c>
      <c r="B4" s="10" t="s">
        <v>115</v>
      </c>
      <c r="C4" s="10" t="s">
        <v>116</v>
      </c>
      <c r="D4" s="10" t="s">
        <v>117</v>
      </c>
    </row>
    <row r="5" customFormat="false" ht="15" hidden="false" customHeight="true" outlineLevel="0" collapsed="false">
      <c r="A5" s="8" t="s">
        <v>118</v>
      </c>
      <c r="B5" s="8" t="inlineStr">
        <is>
          <t>Tỷ lệ đạt, lỗi mã số thuế/tiền, cờ thừa, % duyệt, phút/việc và biên gộp Mức 1; tuần đầu kiểm mẫu 1%.</t>
        </is>
      </c>
      <c r="C5" s="8" t="inlineStr">
        <is>
          <t>0 lỗi nghiêm trọng và biên ≥60%: tiếp tục thử nghiệm giới hạn. Có lỗi hoặc biên thấp: dừng tự nhập, sửa và giữ Mức 0/1.</t>
        </is>
      </c>
      <c r="D5" s="8" t="inlineStr">
        <is>
          <t>Nhóm VinTay quyết phạm vi; chị Hạnh xác nhận nghiệp vụ, anh Tùng rà mẫu.</t>
        </is>
      </c>
    </row>
    <row r="6" customFormat="false" ht="15" hidden="false" customHeight="true" outlineLevel="0" collapsed="false">
      <c r="A6" s="8" t="s">
        <v>119</v>
      </c>
      <c r="B6" s="8" t="inlineStr">
        <is>
          <t>Kết quả shadow 120 hóa đơn đủ 4 tầng: lỗi mã số thuế/tiền, tầng tụt, cờ thừa, tỷ lệ duyệt, chi phí và biên.</t>
        </is>
      </c>
      <c r="C6" s="8" t="inlineStr">
        <is>
          <t>Qua đủ cổng: quyết định lên Mức 2 với khoảng 10% duyệt. Chưa qua: giữ Mức 1, sửa rồi chạy lại.</t>
        </is>
      </c>
      <c r="D6" s="8" t="inlineStr">
        <is>
          <t>Nhóm VinTay quyết; chị Hạnh và anh Tùng xác nhận cổng.</t>
        </is>
      </c>
    </row>
    <row r="7" customFormat="false" ht="15" hidden="false" customHeight="true" outlineLevel="0" collapsed="false">
      <c r="A7" s="8" t="s">
        <v>120</v>
      </c>
      <c r="B7" s="8" t="inlineStr">
        <is>
          <t>Doanh thu bình quân/văn phòng trong 2 tháng, số văn phòng đủ mẫu (≥10), lỗi nghiêm trọng, % duyệt và biên; chưa dùng LTV khi khách mới dùng 3 tháng.</t>
        </is>
      </c>
      <c r="C7" s="8" t="inlineStr">
        <is>
          <t>Nếu doanh thu &lt;3,71 triệu trên ≥10 văn phòng trong 2 tháng liên tiếp: dừng mở rộng; nếu không, quyết định tiếp tục Mức 2 hoặc thử Mức 3 sau cổng.</t>
        </is>
      </c>
      <c r="D7" s="8" t="inlineStr">
        <is>
          <t>Nhóm VinTay quyết; chị Hạnh xác nhận chất lượng.</t>
        </is>
      </c>
    </row>
    <row r="8" customFormat="false" ht="15" hidden="false" customHeight="true" outlineLevel="0" collapsed="false">
      <c r="A8" s="8" t="s">
        <v>121</v>
      </c>
      <c r="B8" s="8" t="inlineStr">
        <is>
          <t>Giá/chi phí mô hình mới; chạy cùng bộ 40 hóa đơn, so lỗi nghiêm trọng, độ chính xác và chi phí/việc.</t>
        </is>
      </c>
      <c r="C8" s="8" t="inlineStr">
        <is>
          <t>Đánh giá lại tự làm/mua; chỉ đổi nếu chất lượng không giảm, 0 lỗi nghiêm trọng và biên vẫn ≥60%.</t>
        </is>
      </c>
      <c r="D8" s="8" t="inlineStr">
        <is>
          <t>Nhóm VinTay; chị Hạnh xác nhận kết quả nghiệp vụ.</t>
        </is>
      </c>
    </row>
    <row r="9" customFormat="false" ht="15" hidden="false" customHeight="true" outlineLevel="0" collapsed="false">
      <c r="A9" s="8" t="s">
        <v>122</v>
      </c>
      <c r="B9" s="8" t="inlineStr">
        <is>
          <t>Tính năng thay thế, giá, khả năng tích hợp, dữ liệu xuất được và kết quả trên cùng bộ 40 hóa đơn.</t>
        </is>
      </c>
      <c r="C9" s="8" t="inlineStr">
        <is>
          <t>Chấm lại tự làm/mua/chờ; dừng xây trùng nếu tính năng sẵn có qua cổng và đáp ứng bảo vệ dữ liệu.</t>
        </is>
      </c>
      <c r="D9" s="8" t="inlineStr">
        <is>
          <t>Nhóm VinTay quyết; coach hỗ trợ khi cần.</t>
        </is>
      </c>
    </row>
    <row r="10" customFormat="false" ht="15" hidden="false" customHeight="true" outlineLevel="0" collapsed="false">
      <c r="A10" s="8" t="s">
        <v>123</v>
      </c>
      <c r="B10" s="8" t="inlineStr">
        <is>
          <t>Ngày hiệu lực, hóa đơn/trường dữ liệu bị ảnh hưởng, nguồn chính thức và kết quả kiểm thử lại.</t>
        </is>
      </c>
      <c r="C10" s="8" t="inlineStr">
        <is>
          <t>Tạm dừng tự động phần bị ảnh hưởng; cập nhật quy tắc, kiểm thử và chỉ bật lại khi chuyên gia xác nhận.</t>
        </is>
      </c>
      <c r="D10" s="8" t="inlineStr">
        <is>
          <t>Nhóm VinTay quyết; chị Hạnh xác nhận nghiệp vụ.</t>
        </is>
      </c>
    </row>
    <row r="12" customFormat="false" ht="15" hidden="false" customHeight="true" outlineLevel="0" collapsed="false">
      <c r="A12" s="21" t="s">
        <v>124</v>
      </c>
    </row>
  </sheetData>
  <sheetProtection sheet="true" formatColumns="false" formatRows="fals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sheetPr filterMode="false">
    <pageSetUpPr fitToPage="false"/>
  </sheetPr>
  <dimension ref="A1:D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2"/>
    <col collapsed="false" customWidth="true" hidden="false" outlineLevel="0" max="2" min="2" style="1" width="90"/>
    <col collapsed="false" customWidth="true" hidden="false" outlineLevel="0" max="3" min="3" style="1" width="8"/>
    <col collapsed="false" customWidth="true" hidden="false" outlineLevel="0" max="4" min="4" style="1" width="12"/>
  </cols>
  <sheetData>
    <row r="1" customFormat="false" ht="17.25" hidden="false" customHeight="true" outlineLevel="0" collapsed="false">
      <c r="A1" s="2" t="s">
        <v>125</v>
      </c>
    </row>
    <row r="2" customFormat="false" ht="15" hidden="false" customHeight="true" outlineLevel="0" collapsed="false">
      <c r="A2" s="3" t="s">
        <v>126</v>
      </c>
    </row>
    <row r="3" customFormat="false" ht="15" hidden="false" customHeight="true" outlineLevel="0" collapsed="false">
      <c r="C3" s="25" t="s">
        <v>127</v>
      </c>
      <c r="D3" s="25" t="s">
        <v>128</v>
      </c>
    </row>
    <row r="4" customFormat="false" ht="33.75" hidden="false" customHeight="true" outlineLevel="0" collapsed="false">
      <c r="A4" s="25" t="s">
        <v>129</v>
      </c>
      <c r="B4" s="8" t="inlineStr">
        <is>
          <t>Khuyến nghị: mở rộng có điều kiện—tích hợp nhập tệp gốc và tra cứu mã số thuế; thử OCR/gắn cờ có người duyệt, chưa tự nhập đại trà.</t>
        </is>
      </c>
      <c r="C4" s="26">
        <f aca="false">IF(TRIM(B4)="",0,LEN(TRIM(B4))-LEN(SUBSTITUTE(TRIM(B4)," ",""))+1)</f>
        <v>28</v>
      </c>
      <c r="D4" s="18" t="str">
        <f aca="false">IF(C4=0,"Trống",IF(C4&gt;60,"Quá 60 chữ","Đạt"))</f>
        <v>Đạt</v>
      </c>
    </row>
    <row r="5" customFormat="false" ht="33.75" hidden="false" customHeight="true" outlineLevel="0" collapsed="false">
      <c r="A5" s="25" t="s">
        <v>130</v>
      </c>
      <c r="B5" s="8" t="inlineStr">
        <is>
          <t>1) Đối chiếu mã số thuế. 2) Dùng tính năng nhập tệp gốc sẵn có. 3) Thử đọc ảnh và gắn cờ hóa đơn rủi ro.</t>
        </is>
      </c>
      <c r="C5" s="26">
        <f aca="false">IF(TRIM(B5)="",0,LEN(TRIM(B5))-LEN(SUBSTITUTE(TRIM(B5)," ",""))+1)</f>
        <v>26</v>
      </c>
      <c r="D5" s="18" t="str">
        <f aca="false">IF(C5=0,"Trống",IF(C5&gt;60,"Quá 60 chữ","Đạt"))</f>
        <v>Đạt</v>
      </c>
    </row>
    <row r="6" customFormat="false" ht="33.75" hidden="false" customHeight="true" outlineLevel="0" collapsed="false">
      <c r="A6" s="25" t="s">
        <v>131</v>
      </c>
      <c r="B6" s="8" t="inlineStr">
        <is>
          <t>Bộ đề 40 hóa đơn/4 tầng; chị Hạnh 3 giờ/tuần, anh Tùng hỗ trợ; tích hợp phần mềm kế toán và dịch vụ mã số thuế; nhật ký, rollback.</t>
        </is>
      </c>
      <c r="C6" s="26">
        <f aca="false">IF(TRIM(B6)="",0,LEN(TRIM(B6))-LEN(SUBSTITUTE(TRIM(B6)," ",""))+1)</f>
        <v>29</v>
      </c>
      <c r="D6" s="18" t="str">
        <f aca="false">IF(C6=0,"Trống",IF(C6&gt;60,"Quá 60 chữ","Đạt"))</f>
        <v>Đạt</v>
      </c>
    </row>
    <row r="7" customFormat="false" ht="33.75" hidden="false" customHeight="true" outlineLevel="0" collapsed="false">
      <c r="A7" s="25" t="s">
        <v>132</v>
      </c>
      <c r="B7" s="8" t="inlineStr">
        <is>
          <t>Một lỗi mã số thuế/tiền: cảnh báo ngay, dừng tự nhập, lùi mức để điều tra. Theo dõi doanh thu tập trung và cờ thừa.</t>
        </is>
      </c>
      <c r="C7" s="26">
        <f aca="false">IF(TRIM(B7)="",0,LEN(TRIM(B7))-LEN(SUBSTITUTE(TRIM(B7)," ",""))+1)</f>
        <v>25</v>
      </c>
      <c r="D7" s="18" t="str">
        <f aca="false">IF(C7=0,"Trống",IF(C7&gt;60,"Quá 60 chữ","Đạt"))</f>
        <v>Đạt</v>
      </c>
    </row>
    <row r="8" customFormat="false" ht="33.75" hidden="false" customHeight="true" outlineLevel="0" collapsed="false">
      <c r="A8" s="25" t="s">
        <v>133</v>
      </c>
      <c r="B8" s="8" t="inlineStr">
        <is>
          <t>Ngày 30: xem pilot/cờ thừa. Ngày 60: xét cổng shadow 120 hóa đơn. Ngày 90: xem doanh thu 2 tháng trên ≥10 văn phòng; quyết định mở rộng hay dừng.</t>
        </is>
      </c>
      <c r="C8" s="26">
        <f aca="false">IF(TRIM(B8)="",0,LEN(TRIM(B8))-LEN(SUBSTITUTE(TRIM(B8)," ",""))+1)</f>
        <v>30</v>
      </c>
      <c r="D8" s="18" t="str">
        <f aca="false">IF(C8=0,"Trống",IF(C8&gt;60,"Quá 60 chữ","Đạt"))</f>
        <v>Đạt</v>
      </c>
    </row>
  </sheetData>
  <sheetProtection sheet="true" formatColumns="false" formatRows="fals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sheetPr filterMode="false">
    <pageSetUpPr fitToPage="false"/>
  </sheetPr>
  <dimension ref="A1:C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66"/>
    <col collapsed="false" customWidth="true" hidden="false" outlineLevel="0" max="3" min="2" style="1" width="14"/>
  </cols>
  <sheetData>
    <row r="1" customFormat="false" ht="17.25" hidden="false" customHeight="true" outlineLevel="0" collapsed="false">
      <c r="A1" s="2" t="s">
        <v>134</v>
      </c>
    </row>
    <row r="2" customFormat="false" ht="15" hidden="false" customHeight="true" outlineLevel="0" collapsed="false">
      <c r="A2" s="3" t="s">
        <v>135</v>
      </c>
    </row>
    <row r="4" customFormat="false" ht="15" hidden="false" customHeight="true" outlineLevel="0" collapsed="false">
      <c r="A4" s="10" t="s">
        <v>136</v>
      </c>
      <c r="B4" s="10" t="s">
        <v>137</v>
      </c>
      <c r="C4" s="10" t="s">
        <v>128</v>
      </c>
    </row>
    <row r="5" customFormat="false" ht="15" hidden="false" customHeight="true" outlineLevel="0" collapsed="false">
      <c r="A5" s="11" t="s">
        <v>138</v>
      </c>
      <c r="B5" s="12">
        <f aca="false">COUNT('1_Danh sách việc'!M5:M14)</f>
        <v>6</v>
      </c>
      <c r="C5" s="12" t="str">
        <f aca="false">IF(B5&gt;=5,"Đạt","Xem lại")</f>
        <v>Đạt</v>
      </c>
    </row>
    <row r="6" customFormat="false" ht="15" hidden="false" customHeight="true" outlineLevel="0" collapsed="false">
      <c r="A6" s="11" t="s">
        <v>139</v>
      </c>
      <c r="B6" s="12">
        <f aca="false">COUNTIFS('1_Danh sách việc'!O5:O14,"Thiếu",'1_Danh sách việc'!P5:P14,"&lt;&gt;Không làm")</f>
        <v>0</v>
      </c>
      <c r="C6" s="12" t="str">
        <f aca="false">IF(B5=0,"",IF(B6=0,"Đạt","Xem lại"))</f>
        <v>Đạt</v>
      </c>
    </row>
    <row r="7" customFormat="false" ht="15" hidden="false" customHeight="true" outlineLevel="0" collapsed="false">
      <c r="A7" s="11" t="s">
        <v>140</v>
      </c>
      <c r="B7" s="12">
        <f aca="false">COUNTIF('2_Mức tự động'!M6:M8,"Có")</f>
        <v>3</v>
      </c>
      <c r="C7" s="12" t="str">
        <f aca="false">IF(B7&gt;=2,"Đạt","Xem lại")</f>
        <v>Đạt</v>
      </c>
    </row>
    <row r="8" customFormat="false" ht="15" hidden="false" customHeight="true" outlineLevel="0" collapsed="false">
      <c r="A8" s="11" t="s">
        <v>141</v>
      </c>
      <c r="B8" s="12">
        <f aca="false">COUNTA('3_Bảng lộ trình'!B5:B12)</f>
        <v>8</v>
      </c>
      <c r="C8" s="12" t="str">
        <f aca="false">IF(B8=8,"Đạt","Xem lại")</f>
        <v>Đạt</v>
      </c>
    </row>
    <row r="9" customFormat="false" ht="15" hidden="false" customHeight="true" outlineLevel="0" collapsed="false">
      <c r="A9" s="11" t="s">
        <v>142</v>
      </c>
      <c r="B9" s="12" t="str">
        <f aca="false">IF(AND(LEN('3_Bảng lộ trình'!B12)&gt;10,SUMPRODUCT(--ISNUMBER(SEARCH({"0","1","2","3","4","5","6","7","8","9"},'3_Bảng lộ trình'!B12)))&gt;0),"Có","Chưa")</f>
        <v>Có</v>
      </c>
      <c r="C9" s="12" t="str">
        <f aca="false">IF(B9="Có","Đạt","Xem lại")</f>
        <v>Đạt</v>
      </c>
    </row>
    <row r="10" customFormat="false" ht="15" hidden="false" customHeight="true" outlineLevel="0" collapsed="false">
      <c r="A10" s="11" t="s">
        <v>143</v>
      </c>
      <c r="B10" s="12" t="str">
        <f aca="false">IF(AND(LEN('3_Bảng lộ trình'!B11)&gt;10,SUMPRODUCT(--ISNUMBER(SEARCH({"0","1","2","3","4","5","6","7","8","9"},'3_Bảng lộ trình'!B11)))&gt;0),"Có","Chưa")</f>
        <v>Có</v>
      </c>
      <c r="C10" s="12" t="str">
        <f aca="false">IF(B10="Có","Đạt","Xem lại")</f>
        <v>Đạt</v>
      </c>
    </row>
    <row r="11" customFormat="false" ht="15" hidden="false" customHeight="true" outlineLevel="0" collapsed="false">
      <c r="A11" s="11" t="s">
        <v>144</v>
      </c>
      <c r="B11" s="12">
        <f aca="false">COUNTIF('5_Slide lãnh đạo'!D4:D8,"Đạt")</f>
        <v>5</v>
      </c>
      <c r="C11" s="12" t="str">
        <f aca="false">IF(B11=5,"Đạt","Xem lại")</f>
        <v>Đạt</v>
      </c>
    </row>
    <row r="12" customFormat="false" ht="15" hidden="false" customHeight="true" outlineLevel="0" collapsed="false">
      <c r="A12" s="11" t="s">
        <v>145</v>
      </c>
      <c r="B12" s="12">
        <f aca="false">COUNTIF('2_Mức tự động'!L5:L8,"Đạt")</f>
        <v>3</v>
      </c>
      <c r="C12" s="12" t="str">
        <f aca="false">IF(B12&gt;=1,"Đạt","Xem lại")</f>
        <v>Đạt</v>
      </c>
    </row>
  </sheetData>
  <sheetProtection sheet="true" formatColumns="false" formatRows="fals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2"/>
    <col collapsed="false" customWidth="true" hidden="false" outlineLevel="0" max="2" min="2" style="1" width="30"/>
    <col collapsed="false" customWidth="true" hidden="false" outlineLevel="0" max="3" min="3" style="1" width="80"/>
    <col collapsed="false" customWidth="true" hidden="false" outlineLevel="0" max="4" min="4" style="1" width="40"/>
  </cols>
  <sheetData>
    <row r="1" customFormat="false" ht="17.25" hidden="false" customHeight="true" outlineLevel="0" collapsed="false">
      <c r="A1" s="2" t="s">
        <v>146</v>
      </c>
    </row>
    <row r="2" customFormat="false" ht="15" hidden="false" customHeight="true" outlineLevel="0" collapsed="false">
      <c r="A2" s="3"/>
    </row>
    <row r="4" customFormat="false" ht="15" hidden="false" customHeight="true" outlineLevel="0" collapsed="false">
      <c r="A4" s="10" t="s">
        <v>147</v>
      </c>
      <c r="B4" s="10" t="s">
        <v>148</v>
      </c>
      <c r="C4" s="10" t="s">
        <v>149</v>
      </c>
      <c r="D4" s="10" t="s">
        <v>150</v>
      </c>
    </row>
    <row r="5" customFormat="false" ht="15" hidden="false" customHeight="true" outlineLevel="0" collapsed="false">
      <c r="A5" s="11" t="s">
        <v>151</v>
      </c>
      <c r="B5" s="1" t="n">
        <v>20</v>
      </c>
      <c r="C5" s="27" t="s">
        <v>152</v>
      </c>
      <c r="D5" s="28"/>
    </row>
    <row r="6" customFormat="false" ht="15" hidden="false" customHeight="true" outlineLevel="0" collapsed="false">
      <c r="A6" s="11" t="s">
        <v>153</v>
      </c>
      <c r="B6" s="1" t="n">
        <v>20</v>
      </c>
      <c r="C6" s="27" t="s">
        <v>154</v>
      </c>
      <c r="D6" s="28"/>
    </row>
    <row r="7" customFormat="false" ht="15" hidden="false" customHeight="true" outlineLevel="0" collapsed="false">
      <c r="A7" s="11" t="s">
        <v>155</v>
      </c>
      <c r="B7" s="1" t="n">
        <v>25</v>
      </c>
      <c r="C7" s="27" t="s">
        <v>156</v>
      </c>
      <c r="D7" s="28"/>
    </row>
    <row r="8" customFormat="false" ht="15" hidden="false" customHeight="true" outlineLevel="0" collapsed="false">
      <c r="A8" s="11" t="s">
        <v>157</v>
      </c>
      <c r="B8" s="1" t="n">
        <v>15</v>
      </c>
      <c r="C8" s="27" t="s">
        <v>158</v>
      </c>
      <c r="D8" s="28"/>
    </row>
    <row r="9" customFormat="false" ht="15" hidden="false" customHeight="true" outlineLevel="0" collapsed="false">
      <c r="A9" s="11" t="s">
        <v>159</v>
      </c>
      <c r="B9" s="1" t="n">
        <v>20</v>
      </c>
      <c r="C9" s="27" t="s">
        <v>160</v>
      </c>
      <c r="D9" s="28"/>
    </row>
    <row r="10" customFormat="false" ht="15" hidden="false" customHeight="true" outlineLevel="0" collapsed="false">
      <c r="A10" s="9" t="s">
        <v>161</v>
      </c>
      <c r="B10" s="1" t="n">
        <f aca="false">SUM(B5:B9)</f>
        <v>100</v>
      </c>
      <c r="D10" s="12" t="n">
        <f aca="false">SUM(D5:D9)</f>
        <v>0</v>
      </c>
    </row>
    <row r="12" customFormat="false" ht="15" hidden="false" customHeight="true" outlineLevel="0" collapsed="false">
      <c r="A12" s="9"/>
      <c r="D12" s="28"/>
    </row>
    <row r="15" customFormat="false" ht="15" hidden="false" customHeight="true" outlineLevel="0" collapsed="false">
      <c r="A15" s="29" t="s">
        <v>162</v>
      </c>
    </row>
    <row r="16" customFormat="false" ht="15" hidden="false" customHeight="true" outlineLevel="0" collapsed="false">
      <c r="A16" s="10" t="s">
        <v>147</v>
      </c>
      <c r="B16" s="10" t="s">
        <v>163</v>
      </c>
      <c r="C16" s="10" t="s">
        <v>164</v>
      </c>
      <c r="D16" s="10" t="s">
        <v>165</v>
      </c>
    </row>
    <row r="17" customFormat="false" ht="45.75" hidden="false" customHeight="true" outlineLevel="0" collapsed="false">
      <c r="A17" s="30" t="s">
        <v>166</v>
      </c>
      <c r="B17" s="31" t="s">
        <v>167</v>
      </c>
      <c r="C17" s="31" t="s">
        <v>168</v>
      </c>
      <c r="D17" s="31" t="s">
        <v>169</v>
      </c>
    </row>
    <row r="18" customFormat="false" ht="45.75" hidden="false" customHeight="true" outlineLevel="0" collapsed="false">
      <c r="A18" s="30" t="s">
        <v>170</v>
      </c>
      <c r="B18" s="31" t="s">
        <v>171</v>
      </c>
      <c r="C18" s="31" t="s">
        <v>172</v>
      </c>
      <c r="D18" s="31" t="s">
        <v>173</v>
      </c>
    </row>
    <row r="19" customFormat="false" ht="45.75" hidden="false" customHeight="true" outlineLevel="0" collapsed="false">
      <c r="A19" s="30" t="s">
        <v>174</v>
      </c>
      <c r="B19" s="31" t="s">
        <v>175</v>
      </c>
      <c r="C19" s="31" t="s">
        <v>176</v>
      </c>
      <c r="D19" s="31" t="s">
        <v>177</v>
      </c>
    </row>
    <row r="20" customFormat="false" ht="45.75" hidden="false" customHeight="true" outlineLevel="0" collapsed="false">
      <c r="A20" s="30" t="s">
        <v>178</v>
      </c>
      <c r="B20" s="31" t="s">
        <v>179</v>
      </c>
      <c r="C20" s="31" t="s">
        <v>180</v>
      </c>
      <c r="D20" s="31" t="s">
        <v>181</v>
      </c>
    </row>
    <row r="22" customFormat="false" ht="15" hidden="false" customHeight="true" outlineLevel="0" collapsed="false">
      <c r="A22" s="21" t="s">
        <v>182</v>
      </c>
    </row>
  </sheetData>
  <sheetProtection sheet="true" formatColumns="false" formatRows="fals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2026-10-04T05:24:07Z</dcterms:created>
  <dc:creator>openpyxl</dc:creator>
  <dc:description/>
  <dc:language>en-US</dc:language>
  <cp:lastModifiedBy/>
  <dcterms:modified xsi:type="dcterms:W3CDTF">2026-10-14T15:39:14Z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